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M:\lab\Lab_Gomes\Data\Didem\Varioskan\Other assays\"/>
    </mc:Choice>
  </mc:AlternateContent>
  <xr:revisionPtr revIDLastSave="0" documentId="13_ncr:1_{2E06EFA7-59CD-4B58-8171-51414D91C0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9" r:id="rId1"/>
    <sheet name="Luminescence 1_01" sheetId="1" r:id="rId2"/>
    <sheet name="Result summary" sheetId="2" r:id="rId3"/>
    <sheet name="General information" sheetId="3" r:id="rId4"/>
    <sheet name="Session information" sheetId="4" r:id="rId5"/>
    <sheet name="Instrument information" sheetId="5" r:id="rId6"/>
    <sheet name="Protocol parameters" sheetId="6" r:id="rId7"/>
    <sheet name="Run log" sheetId="7" r:id="rId8"/>
    <sheet name="Layout definitions" sheetId="8" r:id="rId9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9" l="1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3" i="9"/>
  <c r="J4" i="9"/>
  <c r="J5" i="9"/>
  <c r="J6" i="9"/>
  <c r="J7" i="9"/>
  <c r="J8" i="9"/>
  <c r="J2" i="9"/>
  <c r="P3" i="9"/>
  <c r="P4" i="9"/>
  <c r="P5" i="9"/>
  <c r="P6" i="9"/>
  <c r="P7" i="9"/>
  <c r="P8" i="9"/>
  <c r="P9" i="9"/>
  <c r="P2" i="9"/>
  <c r="H3" i="9"/>
  <c r="H4" i="9"/>
  <c r="H5" i="9"/>
  <c r="H6" i="9"/>
  <c r="H7" i="9"/>
  <c r="H8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2" i="9"/>
</calcChain>
</file>

<file path=xl/sharedStrings.xml><?xml version="1.0" encoding="utf-8"?>
<sst xmlns="http://schemas.openxmlformats.org/spreadsheetml/2006/main" count="1519" uniqueCount="301">
  <si>
    <t>Measurement results</t>
  </si>
  <si>
    <t>221112_Glucose Consumption_Promega_384.skax</t>
  </si>
  <si>
    <t>11/12/2022 4:10:18 PM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</si>
  <si>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</si>
  <si>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</si>
  <si>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</si>
  <si>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</si>
  <si>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</si>
  <si>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</si>
  <si>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</si>
  <si>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</si>
  <si>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</si>
  <si>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</si>
  <si>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</si>
  <si>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</si>
  <si>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</si>
  <si>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</si>
  <si>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</si>
  <si>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</si>
  <si>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</si>
  <si>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</si>
  <si>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</si>
  <si>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</si>
  <si>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</si>
  <si>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Sample</t>
  </si>
  <si>
    <t>Blank1</t>
  </si>
  <si>
    <t>Autoloading range A1 - Y44</t>
  </si>
  <si>
    <t>Results summary</t>
  </si>
  <si>
    <t>General</t>
  </si>
  <si>
    <t>Plate</t>
  </si>
  <si>
    <t>Well</t>
  </si>
  <si>
    <t>Group</t>
  </si>
  <si>
    <t>A01</t>
  </si>
  <si>
    <t>Group 1</t>
  </si>
  <si>
    <t>B01</t>
  </si>
  <si>
    <t>C01</t>
  </si>
  <si>
    <t>D01</t>
  </si>
  <si>
    <t>E01</t>
  </si>
  <si>
    <t>F01</t>
  </si>
  <si>
    <t>G01</t>
  </si>
  <si>
    <t>H01</t>
  </si>
  <si>
    <t>I01</t>
  </si>
  <si>
    <t>J01</t>
  </si>
  <si>
    <t>K01</t>
  </si>
  <si>
    <t>L01</t>
  </si>
  <si>
    <t>M01</t>
  </si>
  <si>
    <t>N01</t>
  </si>
  <si>
    <t>O01</t>
  </si>
  <si>
    <t>P01</t>
  </si>
  <si>
    <t>A02</t>
  </si>
  <si>
    <t>B02</t>
  </si>
  <si>
    <t>C02</t>
  </si>
  <si>
    <t>D02</t>
  </si>
  <si>
    <t>E02</t>
  </si>
  <si>
    <t>F02</t>
  </si>
  <si>
    <t>G02</t>
  </si>
  <si>
    <t>H02</t>
  </si>
  <si>
    <t>I02</t>
  </si>
  <si>
    <t>J02</t>
  </si>
  <si>
    <t>K02</t>
  </si>
  <si>
    <t>L02</t>
  </si>
  <si>
    <t>M02</t>
  </si>
  <si>
    <t>N02</t>
  </si>
  <si>
    <t>O02</t>
  </si>
  <si>
    <t>P02</t>
  </si>
  <si>
    <t>A03</t>
  </si>
  <si>
    <t>B03</t>
  </si>
  <si>
    <t>C03</t>
  </si>
  <si>
    <t>D03</t>
  </si>
  <si>
    <t>E03</t>
  </si>
  <si>
    <t>F03</t>
  </si>
  <si>
    <t>G03</t>
  </si>
  <si>
    <t>H03</t>
  </si>
  <si>
    <t>I03</t>
  </si>
  <si>
    <t>J03</t>
  </si>
  <si>
    <t>K03</t>
  </si>
  <si>
    <t>L03</t>
  </si>
  <si>
    <t>M03</t>
  </si>
  <si>
    <t>N03</t>
  </si>
  <si>
    <t>O03</t>
  </si>
  <si>
    <t>P03</t>
  </si>
  <si>
    <t>A04</t>
  </si>
  <si>
    <t>B04</t>
  </si>
  <si>
    <t>C04</t>
  </si>
  <si>
    <t>D04</t>
  </si>
  <si>
    <t>E04</t>
  </si>
  <si>
    <t>F04</t>
  </si>
  <si>
    <t>G04</t>
  </si>
  <si>
    <t>H04</t>
  </si>
  <si>
    <t>I04</t>
  </si>
  <si>
    <t>J04</t>
  </si>
  <si>
    <t>K04</t>
  </si>
  <si>
    <t>L04</t>
  </si>
  <si>
    <t>M04</t>
  </si>
  <si>
    <t>N04</t>
  </si>
  <si>
    <t>O04</t>
  </si>
  <si>
    <t>P04</t>
  </si>
  <si>
    <t>A05</t>
  </si>
  <si>
    <t>B05</t>
  </si>
  <si>
    <t>C05</t>
  </si>
  <si>
    <t>D05</t>
  </si>
  <si>
    <t>E05</t>
  </si>
  <si>
    <t>F05</t>
  </si>
  <si>
    <t>G05</t>
  </si>
  <si>
    <t>H05</t>
  </si>
  <si>
    <t>I05</t>
  </si>
  <si>
    <t>J05</t>
  </si>
  <si>
    <t>K05</t>
  </si>
  <si>
    <t>L05</t>
  </si>
  <si>
    <t>M05</t>
  </si>
  <si>
    <t>N05</t>
  </si>
  <si>
    <t>O05</t>
  </si>
  <si>
    <t>P05</t>
  </si>
  <si>
    <t>A06</t>
  </si>
  <si>
    <t>B06</t>
  </si>
  <si>
    <t>C06</t>
  </si>
  <si>
    <t>D06</t>
  </si>
  <si>
    <t>E06</t>
  </si>
  <si>
    <t>F06</t>
  </si>
  <si>
    <t>G06</t>
  </si>
  <si>
    <t>H06</t>
  </si>
  <si>
    <t>I06</t>
  </si>
  <si>
    <t>J06</t>
  </si>
  <si>
    <t>K06</t>
  </si>
  <si>
    <t>L06</t>
  </si>
  <si>
    <t>M06</t>
  </si>
  <si>
    <t>N06</t>
  </si>
  <si>
    <t>O06</t>
  </si>
  <si>
    <t>P06</t>
  </si>
  <si>
    <t>A07</t>
  </si>
  <si>
    <t>B07</t>
  </si>
  <si>
    <t>C07</t>
  </si>
  <si>
    <t>D07</t>
  </si>
  <si>
    <t>E07</t>
  </si>
  <si>
    <t>F07</t>
  </si>
  <si>
    <t>G07</t>
  </si>
  <si>
    <t>H07</t>
  </si>
  <si>
    <t>I07</t>
  </si>
  <si>
    <t>J07</t>
  </si>
  <si>
    <t>K07</t>
  </si>
  <si>
    <t>L07</t>
  </si>
  <si>
    <t>M07</t>
  </si>
  <si>
    <t>N07</t>
  </si>
  <si>
    <t>O07</t>
  </si>
  <si>
    <t>P07</t>
  </si>
  <si>
    <t>A08</t>
  </si>
  <si>
    <t>B08</t>
  </si>
  <si>
    <t>C08</t>
  </si>
  <si>
    <t>D08</t>
  </si>
  <si>
    <t>E08</t>
  </si>
  <si>
    <t>F08</t>
  </si>
  <si>
    <t>G08</t>
  </si>
  <si>
    <t>H08</t>
  </si>
  <si>
    <t>I08</t>
  </si>
  <si>
    <t>J08</t>
  </si>
  <si>
    <t>K08</t>
  </si>
  <si>
    <t>L08</t>
  </si>
  <si>
    <t>M08</t>
  </si>
  <si>
    <t>N08</t>
  </si>
  <si>
    <t>O08</t>
  </si>
  <si>
    <t>P08</t>
  </si>
  <si>
    <t>A09</t>
  </si>
  <si>
    <t>B09</t>
  </si>
  <si>
    <t>C09</t>
  </si>
  <si>
    <t>D09</t>
  </si>
  <si>
    <t>E09</t>
  </si>
  <si>
    <t>F09</t>
  </si>
  <si>
    <t>G09</t>
  </si>
  <si>
    <t>H09</t>
  </si>
  <si>
    <t>I09</t>
  </si>
  <si>
    <t>J09</t>
  </si>
  <si>
    <t>K09</t>
  </si>
  <si>
    <t>L09</t>
  </si>
  <si>
    <t>M09</t>
  </si>
  <si>
    <t>N09</t>
  </si>
  <si>
    <t>O09</t>
  </si>
  <si>
    <t>P09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</si>
  <si>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</si>
  <si>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</si>
  <si>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</si>
  <si>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</si>
  <si>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</si>
  <si>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</si>
  <si>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</si>
  <si>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</si>
  <si>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</si>
  <si>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</si>
  <si>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</si>
  <si>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</si>
  <si>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</si>
  <si>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</si>
  <si>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</si>
  <si>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</si>
  <si>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</si>
  <si>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</si>
  <si>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</si>
  <si>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</si>
  <si>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</si>
  <si>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</si>
  <si>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</si>
  <si>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</si>
  <si>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</si>
  <si>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</si>
  <si>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</si>
  <si>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</si>
  <si>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</si>
  <si>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</si>
  <si>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</si>
  <si>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</si>
  <si>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</si>
  <si>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</si>
  <si>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</si>
  <si>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</si>
  <si>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</si>
  <si>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</si>
  <si>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</si>
  <si>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</si>
  <si>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</si>
  <si>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</si>
  <si>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</si>
  <si>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</si>
  <si>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</si>
  <si>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</si>
  <si>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</si>
  <si>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</si>
  <si>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General information</t>
  </si>
  <si>
    <t>Software version</t>
  </si>
  <si>
    <t>SkanIt Software 6.0.2 for Microplate Readers RE, ver. 6.0.2.3</t>
  </si>
  <si>
    <t>Optical response compensation</t>
  </si>
  <si>
    <t>Yes</t>
  </si>
  <si>
    <t>Session information</t>
  </si>
  <si>
    <t>Session name</t>
  </si>
  <si>
    <t>Session notes</t>
  </si>
  <si>
    <t>SkanIt Software for Microplate Readers RE, ver. 6.0.2.3</t>
  </si>
  <si>
    <t>Execution time</t>
  </si>
  <si>
    <t>User</t>
  </si>
  <si>
    <t>HLM\4471542</t>
  </si>
  <si>
    <t>Instrument information</t>
  </si>
  <si>
    <t>Name</t>
  </si>
  <si>
    <t>Varioskan LUX</t>
  </si>
  <si>
    <t>ESW version</t>
  </si>
  <si>
    <t>1.00.38</t>
  </si>
  <si>
    <t>Serial number</t>
  </si>
  <si>
    <t>3020-80610</t>
  </si>
  <si>
    <t>Instrument modules</t>
  </si>
  <si>
    <t>Module's name</t>
  </si>
  <si>
    <t>LAT module</t>
  </si>
  <si>
    <t>Module's serial number</t>
  </si>
  <si>
    <t>LL2019805</t>
  </si>
  <si>
    <t>Plate adapter name</t>
  </si>
  <si>
    <t>384-well adapter for plate without lid</t>
  </si>
  <si>
    <t>Plate adapter number</t>
  </si>
  <si>
    <t>4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</si>
  <si>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</si>
  <si>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</si>
  <si>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</si>
  <si>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</si>
  <si>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</si>
  <si>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</si>
  <si>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</si>
  <si>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</si>
  <si>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</si>
  <si>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</si>
  <si>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</si>
  <si>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</si>
  <si>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</si>
  <si>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</si>
  <si>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</si>
  <si>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</si>
  <si>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</si>
  <si>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</si>
  <si>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</si>
  <si>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</si>
  <si>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</si>
  <si>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</si>
  <si>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Temperature</t>
  </si>
  <si>
    <t>24.1°C</t>
  </si>
  <si>
    <t>Step Luminescence 1 started</t>
  </si>
  <si>
    <t>11/12/2022 4:10:26 PM</t>
  </si>
  <si>
    <t>Calibration</t>
  </si>
  <si>
    <t>Luminometric 1.33162 120813249</t>
  </si>
  <si>
    <t>11/12/2022 4:11:15 PM</t>
  </si>
  <si>
    <t>11/12/2022 4:12:15 PM</t>
  </si>
  <si>
    <t>11/12/2022 4:13:15 PM</t>
  </si>
  <si>
    <t>11/12/2022 4:14:03 PM</t>
  </si>
  <si>
    <t>Step Luminescence 1 ended</t>
  </si>
  <si>
    <t>11/12/2022 4:14:14 PM</t>
  </si>
  <si>
    <t>Session 221112_Glucose Consumption_Promega_384.skax ended</t>
  </si>
  <si>
    <t>Plate template</t>
  </si>
  <si>
    <t>ANSI/SBS Standard, 384-well</t>
  </si>
  <si>
    <t>Day1</t>
  </si>
  <si>
    <t>Day2</t>
  </si>
  <si>
    <t>Day 3</t>
  </si>
  <si>
    <t>Day 0 Media</t>
  </si>
  <si>
    <t>2N</t>
  </si>
  <si>
    <t>4N</t>
  </si>
  <si>
    <t>Average</t>
  </si>
  <si>
    <t>Dilution Factor</t>
  </si>
  <si>
    <t>average</t>
  </si>
  <si>
    <t>didn't use in the graph</t>
  </si>
  <si>
    <t>[Glucose]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</si>
</sst>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F4F5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 vertical="center"/>
    </xf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Sheet1!$L$3:$L$9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0.02</c:v>
                </c:pt>
                <c:pt idx="2">
                  <c:v>0.1</c:v>
                </c:pt>
                <c:pt idx="3">
                  <c:v>0.5</c:v>
                </c:pt>
                <c:pt idx="4">
                  <c:v>2</c:v>
                </c:pt>
                <c:pt idx="5">
                  <c:v>10</c:v>
                </c:pt>
                <c:pt idx="6">
                  <c:v>50</c:v>
                </c:pt>
              </c:numCache>
            </c:numRef>
          </c:xVal>
          <c:yVal>
            <c:numRef>
              <c:f>Sheet1!$P$3:$P$9</c:f>
              <c:numCache>
                <c:formatCode>General</c:formatCode>
                <c:ptCount val="7"/>
                <c:pt idx="0">
                  <c:v>18860</c:v>
                </c:pt>
                <c:pt idx="1">
                  <c:v>18903.333333333332</c:v>
                </c:pt>
                <c:pt idx="2">
                  <c:v>27376.666666666668</c:v>
                </c:pt>
                <c:pt idx="3">
                  <c:v>81193.333333333328</c:v>
                </c:pt>
                <c:pt idx="4">
                  <c:v>375466.66666666669</c:v>
                </c:pt>
                <c:pt idx="5">
                  <c:v>1792333.3333333333</c:v>
                </c:pt>
                <c:pt idx="6">
                  <c:v>7880000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92-4E12-ABD8-D6449F6E8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70847"/>
        <c:axId val="2136779167"/>
      </c:scatterChart>
      <c:valAx>
        <c:axId val="21367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9167"/>
        <c:crosses val="autoZero"/>
        <c:crossBetween val="midCat"/>
      </c:valAx>
      <c:valAx>
        <c:axId val="21367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0</xdr:row>
      <xdr:rowOff>0</xdr:rowOff>
    </xdr:from>
    <xdr:to>
      <xdr:col>25</xdr:col>
      <xdr:colOff>76200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6C436-F3B8-4260-90E6-EA254CEA1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7A10-25EB-4A46-96DC-9EA4C257A1C5}">
  <dimension ref="A1:Q60"/>
  <sheetViews>
    <sheetView tabSelected="1" workbookViewId="0">
      <selection activeCell="P15" sqref="P15"/>
    </sheetView>
  </sheetViews>
  <sheetFormatPr defaultRowHeight="12.75" x14ac:dyDescent="0.2"/>
  <cols>
    <col min="1" max="1" width="9.140625" style="2"/>
    <col min="6" max="6" width="2.28515625" style="2" customWidth="1"/>
    <col min="7" max="7" width="9.140625" style="2"/>
    <col min="8" max="8" width="9.140625" style="25"/>
    <col min="9" max="9" width="1.7109375" customWidth="1"/>
  </cols>
  <sheetData>
    <row r="1" spans="1:17" s="2" customFormat="1" x14ac:dyDescent="0.2">
      <c r="B1" s="2" t="s">
        <v>293</v>
      </c>
      <c r="G1" s="2" t="s">
        <v>297</v>
      </c>
      <c r="H1" s="25" t="s">
        <v>296</v>
      </c>
      <c r="J1" s="24" t="s">
        <v>300</v>
      </c>
      <c r="P1" s="2" t="s">
        <v>298</v>
      </c>
    </row>
    <row r="2" spans="1:17" x14ac:dyDescent="0.2">
      <c r="B2" s="2">
        <v>0</v>
      </c>
      <c r="C2" s="1">
        <v>104700</v>
      </c>
      <c r="D2" s="1">
        <v>108300</v>
      </c>
      <c r="E2" s="1">
        <v>105500</v>
      </c>
      <c r="F2" s="1"/>
      <c r="G2" s="1">
        <v>10</v>
      </c>
      <c r="H2" s="25">
        <f>AVERAGE(C2:E2)</f>
        <v>106166.66666666667</v>
      </c>
      <c r="J2">
        <f>((H2-49072)/157298)*G2/1000</f>
        <v>3.6297134525974054E-3</v>
      </c>
      <c r="L2" s="22">
        <v>0</v>
      </c>
      <c r="M2" s="23">
        <v>75480</v>
      </c>
      <c r="N2" s="23">
        <v>72850</v>
      </c>
      <c r="O2" s="23">
        <v>79820</v>
      </c>
      <c r="P2" s="22">
        <f>AVERAGE(M2:O2)</f>
        <v>76050</v>
      </c>
      <c r="Q2" s="22" t="s">
        <v>299</v>
      </c>
    </row>
    <row r="3" spans="1:17" x14ac:dyDescent="0.2">
      <c r="B3" s="2">
        <v>0.1</v>
      </c>
      <c r="C3" s="1">
        <v>1207000</v>
      </c>
      <c r="D3" s="1">
        <v>1241000</v>
      </c>
      <c r="E3" s="1">
        <v>1267000</v>
      </c>
      <c r="F3" s="1"/>
      <c r="G3" s="1">
        <v>10</v>
      </c>
      <c r="H3" s="25">
        <f>AVERAGE(C3:E3)</f>
        <v>1238333.3333333333</v>
      </c>
      <c r="J3" s="2">
        <f t="shared" ref="J3:J59" si="0">((H3-49072)/157298)*G3/1000</f>
        <v>7.560562329675731E-2</v>
      </c>
      <c r="L3">
        <v>4.0000000000000001E-3</v>
      </c>
      <c r="M3" s="1">
        <v>20320</v>
      </c>
      <c r="N3" s="1">
        <v>18450</v>
      </c>
      <c r="O3" s="1">
        <v>17810</v>
      </c>
      <c r="P3" s="2">
        <f t="shared" ref="P3:P9" si="1">AVERAGE(M3:O3)</f>
        <v>18860</v>
      </c>
    </row>
    <row r="4" spans="1:17" x14ac:dyDescent="0.2">
      <c r="B4" s="2">
        <v>0.25</v>
      </c>
      <c r="C4" s="1">
        <v>3024000</v>
      </c>
      <c r="D4" s="1">
        <v>3300000</v>
      </c>
      <c r="E4" s="1">
        <v>3270000</v>
      </c>
      <c r="F4" s="1"/>
      <c r="G4" s="1">
        <v>10</v>
      </c>
      <c r="H4" s="25">
        <f>AVERAGE(C4:E4)</f>
        <v>3198000</v>
      </c>
      <c r="J4" s="2">
        <f t="shared" si="0"/>
        <v>0.20018868644229426</v>
      </c>
      <c r="L4">
        <v>0.02</v>
      </c>
      <c r="M4" s="1">
        <v>18010</v>
      </c>
      <c r="N4" s="1">
        <v>17340</v>
      </c>
      <c r="O4" s="1">
        <v>21360</v>
      </c>
      <c r="P4" s="2">
        <f t="shared" si="1"/>
        <v>18903.333333333332</v>
      </c>
    </row>
    <row r="5" spans="1:17" x14ac:dyDescent="0.2">
      <c r="B5" s="2">
        <v>0.5</v>
      </c>
      <c r="C5" s="1">
        <v>5838000</v>
      </c>
      <c r="D5" s="1">
        <v>5948000</v>
      </c>
      <c r="E5" s="1">
        <v>5970000</v>
      </c>
      <c r="F5" s="1"/>
      <c r="G5" s="1">
        <v>10</v>
      </c>
      <c r="H5" s="25">
        <f>AVERAGE(C5:E5)</f>
        <v>5918666.666666667</v>
      </c>
      <c r="J5" s="2">
        <f t="shared" si="0"/>
        <v>0.37315125854535131</v>
      </c>
      <c r="L5">
        <v>0.1</v>
      </c>
      <c r="M5" s="1">
        <v>28370</v>
      </c>
      <c r="N5" s="1">
        <v>27510</v>
      </c>
      <c r="O5" s="1">
        <v>26250</v>
      </c>
      <c r="P5" s="2">
        <f t="shared" si="1"/>
        <v>27376.666666666668</v>
      </c>
    </row>
    <row r="6" spans="1:17" x14ac:dyDescent="0.2">
      <c r="B6" s="2">
        <v>1</v>
      </c>
      <c r="C6" s="1">
        <v>2000000</v>
      </c>
      <c r="D6" s="1">
        <v>2091000</v>
      </c>
      <c r="E6" s="1">
        <v>2183000</v>
      </c>
      <c r="F6" s="1"/>
      <c r="G6" s="1">
        <v>100</v>
      </c>
      <c r="H6" s="25">
        <f>AVERAGE(C6:E6)</f>
        <v>2091333.3333333333</v>
      </c>
      <c r="J6" s="2">
        <f t="shared" si="0"/>
        <v>1.2983390337660576</v>
      </c>
      <c r="L6">
        <v>0.5</v>
      </c>
      <c r="M6" s="1">
        <v>82620</v>
      </c>
      <c r="N6" s="1">
        <v>80980</v>
      </c>
      <c r="O6" s="1">
        <v>79980</v>
      </c>
      <c r="P6" s="2">
        <f t="shared" si="1"/>
        <v>81193.333333333328</v>
      </c>
    </row>
    <row r="7" spans="1:17" x14ac:dyDescent="0.2">
      <c r="B7" s="2">
        <v>5</v>
      </c>
      <c r="C7" s="1">
        <v>7221000</v>
      </c>
      <c r="D7" s="1">
        <v>7229000</v>
      </c>
      <c r="E7" s="1">
        <v>7287000</v>
      </c>
      <c r="F7" s="1"/>
      <c r="G7" s="1">
        <v>100</v>
      </c>
      <c r="H7" s="25">
        <f>AVERAGE(C7:E7)</f>
        <v>7245666.666666667</v>
      </c>
      <c r="J7" s="2">
        <f t="shared" si="0"/>
        <v>4.5751342462502169</v>
      </c>
      <c r="L7">
        <v>2</v>
      </c>
      <c r="M7" s="1">
        <v>415800</v>
      </c>
      <c r="N7" s="1">
        <v>355400</v>
      </c>
      <c r="O7" s="1">
        <v>355200</v>
      </c>
      <c r="P7" s="2">
        <f t="shared" si="1"/>
        <v>375466.66666666669</v>
      </c>
    </row>
    <row r="8" spans="1:17" x14ac:dyDescent="0.2">
      <c r="B8" s="2">
        <v>25</v>
      </c>
      <c r="C8" s="1">
        <v>7105000</v>
      </c>
      <c r="D8" s="1">
        <v>7132000</v>
      </c>
      <c r="E8" s="1">
        <v>7134000</v>
      </c>
      <c r="F8" s="1"/>
      <c r="G8" s="1">
        <v>500</v>
      </c>
      <c r="H8" s="25">
        <f>AVERAGE(C8:E8)</f>
        <v>7123666.666666667</v>
      </c>
      <c r="J8" s="2">
        <f t="shared" si="0"/>
        <v>22.487872276401056</v>
      </c>
      <c r="L8">
        <v>10</v>
      </c>
      <c r="M8" s="1">
        <v>1841000</v>
      </c>
      <c r="N8" s="1">
        <v>1775000</v>
      </c>
      <c r="O8" s="1">
        <v>1761000</v>
      </c>
      <c r="P8" s="2">
        <f t="shared" si="1"/>
        <v>1792333.3333333333</v>
      </c>
    </row>
    <row r="9" spans="1:17" x14ac:dyDescent="0.2">
      <c r="J9" s="2"/>
      <c r="L9">
        <v>50</v>
      </c>
      <c r="M9" s="1">
        <v>7843000</v>
      </c>
      <c r="N9" s="1">
        <v>7836000</v>
      </c>
      <c r="O9" s="1">
        <v>7961000</v>
      </c>
      <c r="P9" s="2">
        <f t="shared" si="1"/>
        <v>7880000</v>
      </c>
    </row>
    <row r="10" spans="1:17" s="2" customFormat="1" x14ac:dyDescent="0.2">
      <c r="C10" s="1"/>
      <c r="D10" s="1"/>
      <c r="E10" s="1"/>
      <c r="F10" s="1"/>
      <c r="G10" s="1"/>
      <c r="H10" s="25"/>
    </row>
    <row r="11" spans="1:17" ht="13.5" thickBot="1" x14ac:dyDescent="0.25">
      <c r="B11" t="s">
        <v>290</v>
      </c>
      <c r="J11" s="2"/>
    </row>
    <row r="12" spans="1:17" x14ac:dyDescent="0.2">
      <c r="A12" s="10" t="s">
        <v>294</v>
      </c>
      <c r="B12" s="11">
        <v>0</v>
      </c>
      <c r="C12" s="12">
        <v>397300</v>
      </c>
      <c r="D12" s="12">
        <v>410600</v>
      </c>
      <c r="E12" s="13">
        <v>424700</v>
      </c>
      <c r="F12" s="16"/>
      <c r="G12" s="1">
        <v>10</v>
      </c>
      <c r="H12" s="25">
        <f>AVERAGE(C12:E12)</f>
        <v>410866.66666666669</v>
      </c>
      <c r="J12" s="2">
        <f t="shared" si="0"/>
        <v>2.3000589115352178E-2</v>
      </c>
    </row>
    <row r="13" spans="1:17" x14ac:dyDescent="0.2">
      <c r="A13" s="14"/>
      <c r="B13" s="15">
        <v>0.1</v>
      </c>
      <c r="C13" s="16">
        <v>930300</v>
      </c>
      <c r="D13" s="16">
        <v>975200</v>
      </c>
      <c r="E13" s="17">
        <v>1048000</v>
      </c>
      <c r="F13" s="16"/>
      <c r="G13" s="1">
        <v>10</v>
      </c>
      <c r="H13" s="25">
        <f>AVERAGE(C13:E13)</f>
        <v>984500</v>
      </c>
      <c r="J13" s="2">
        <f t="shared" si="0"/>
        <v>5.9468524711057992E-2</v>
      </c>
    </row>
    <row r="14" spans="1:17" x14ac:dyDescent="0.2">
      <c r="A14" s="14"/>
      <c r="B14" s="15">
        <v>0.25</v>
      </c>
      <c r="C14" s="16">
        <v>2087000</v>
      </c>
      <c r="D14" s="16">
        <v>2151000</v>
      </c>
      <c r="E14" s="17">
        <v>2255000</v>
      </c>
      <c r="F14" s="16"/>
      <c r="G14" s="1">
        <v>10</v>
      </c>
      <c r="H14" s="25">
        <f>AVERAGE(C14:E14)</f>
        <v>2164333.3333333335</v>
      </c>
      <c r="J14" s="2">
        <f t="shared" si="0"/>
        <v>0.13447477611497499</v>
      </c>
    </row>
    <row r="15" spans="1:17" x14ac:dyDescent="0.2">
      <c r="A15" s="14"/>
      <c r="B15" s="15">
        <v>0.5</v>
      </c>
      <c r="C15" s="16">
        <v>4651000</v>
      </c>
      <c r="D15" s="16">
        <v>4655000</v>
      </c>
      <c r="E15" s="17">
        <v>4679000</v>
      </c>
      <c r="F15" s="16"/>
      <c r="G15" s="1">
        <v>10</v>
      </c>
      <c r="H15" s="25">
        <f>AVERAGE(C15:E15)</f>
        <v>4661666.666666667</v>
      </c>
      <c r="J15" s="2">
        <f t="shared" si="0"/>
        <v>0.29323924440658283</v>
      </c>
    </row>
    <row r="16" spans="1:17" x14ac:dyDescent="0.2">
      <c r="A16" s="14"/>
      <c r="B16" s="15">
        <v>1</v>
      </c>
      <c r="C16" s="16">
        <v>1827000</v>
      </c>
      <c r="D16" s="16">
        <v>1825000</v>
      </c>
      <c r="E16" s="17">
        <v>1819000</v>
      </c>
      <c r="F16" s="16"/>
      <c r="G16" s="1">
        <v>100</v>
      </c>
      <c r="H16" s="25">
        <f>AVERAGE(C16:E16)</f>
        <v>1823666.6666666667</v>
      </c>
      <c r="J16" s="2">
        <f t="shared" si="0"/>
        <v>1.1281737000258534</v>
      </c>
    </row>
    <row r="17" spans="1:10" x14ac:dyDescent="0.2">
      <c r="A17" s="14"/>
      <c r="B17" s="15">
        <v>5</v>
      </c>
      <c r="C17" s="16">
        <v>7158000</v>
      </c>
      <c r="D17" s="16">
        <v>7100000</v>
      </c>
      <c r="E17" s="17">
        <v>7161000</v>
      </c>
      <c r="F17" s="16"/>
      <c r="G17" s="1">
        <v>100</v>
      </c>
      <c r="H17" s="25">
        <f>AVERAGE(C17:E17)</f>
        <v>7139666.666666667</v>
      </c>
      <c r="J17" s="2">
        <f t="shared" si="0"/>
        <v>4.5077462311451297</v>
      </c>
    </row>
    <row r="18" spans="1:10" ht="13.5" thickBot="1" x14ac:dyDescent="0.25">
      <c r="A18" s="18"/>
      <c r="B18" s="19">
        <v>25</v>
      </c>
      <c r="C18" s="20">
        <v>7253000</v>
      </c>
      <c r="D18" s="20">
        <v>7041000</v>
      </c>
      <c r="E18" s="21">
        <v>7032000</v>
      </c>
      <c r="F18" s="16"/>
      <c r="G18" s="1">
        <v>500</v>
      </c>
      <c r="H18" s="25">
        <f>AVERAGE(C18:E18)</f>
        <v>7108666.666666667</v>
      </c>
      <c r="J18" s="2">
        <f t="shared" si="0"/>
        <v>22.440192077034251</v>
      </c>
    </row>
    <row r="19" spans="1:10" x14ac:dyDescent="0.2">
      <c r="A19" s="10" t="s">
        <v>295</v>
      </c>
      <c r="B19" s="11">
        <v>0</v>
      </c>
      <c r="C19" s="12">
        <v>167600</v>
      </c>
      <c r="D19" s="12">
        <v>244000</v>
      </c>
      <c r="E19" s="13">
        <v>248600</v>
      </c>
      <c r="F19" s="16"/>
      <c r="G19" s="1">
        <v>10</v>
      </c>
      <c r="H19" s="25">
        <f>AVERAGE(C19:E19)</f>
        <v>220066.66666666666</v>
      </c>
      <c r="J19" s="2">
        <f t="shared" si="0"/>
        <v>1.0870746396436488E-2</v>
      </c>
    </row>
    <row r="20" spans="1:10" x14ac:dyDescent="0.2">
      <c r="A20" s="14"/>
      <c r="B20" s="15">
        <v>0.1</v>
      </c>
      <c r="C20" s="16">
        <v>678200</v>
      </c>
      <c r="D20" s="16">
        <v>649300</v>
      </c>
      <c r="E20" s="17">
        <v>636600</v>
      </c>
      <c r="F20" s="16"/>
      <c r="G20" s="1">
        <v>10</v>
      </c>
      <c r="H20" s="25">
        <f>AVERAGE(C20:E20)</f>
        <v>654700</v>
      </c>
      <c r="J20" s="2">
        <f t="shared" si="0"/>
        <v>3.8501951709494081E-2</v>
      </c>
    </row>
    <row r="21" spans="1:10" x14ac:dyDescent="0.2">
      <c r="A21" s="14"/>
      <c r="B21" s="15">
        <v>0.25</v>
      </c>
      <c r="C21" s="16">
        <v>1699000</v>
      </c>
      <c r="D21" s="16">
        <v>1616000</v>
      </c>
      <c r="E21" s="17">
        <v>1554000</v>
      </c>
      <c r="F21" s="16"/>
      <c r="G21" s="1">
        <v>10</v>
      </c>
      <c r="H21" s="25">
        <f>AVERAGE(C21:E21)</f>
        <v>1623000</v>
      </c>
      <c r="J21" s="2">
        <f t="shared" si="0"/>
        <v>0.10006026777199965</v>
      </c>
    </row>
    <row r="22" spans="1:10" x14ac:dyDescent="0.2">
      <c r="A22" s="14"/>
      <c r="B22" s="15">
        <v>0.5</v>
      </c>
      <c r="C22" s="16">
        <v>3985000</v>
      </c>
      <c r="D22" s="16">
        <v>3812000</v>
      </c>
      <c r="E22" s="17">
        <v>3647000</v>
      </c>
      <c r="F22" s="16"/>
      <c r="G22" s="1">
        <v>10</v>
      </c>
      <c r="H22" s="25">
        <f>AVERAGE(C22:E22)</f>
        <v>3814666.6666666665</v>
      </c>
      <c r="J22" s="2">
        <f t="shared" si="0"/>
        <v>0.23939240592166883</v>
      </c>
    </row>
    <row r="23" spans="1:10" x14ac:dyDescent="0.2">
      <c r="A23" s="14"/>
      <c r="B23" s="15">
        <v>1</v>
      </c>
      <c r="C23" s="16">
        <v>1351000</v>
      </c>
      <c r="D23" s="16">
        <v>1337000</v>
      </c>
      <c r="E23" s="17">
        <v>1254000</v>
      </c>
      <c r="F23" s="16"/>
      <c r="G23" s="1">
        <v>100</v>
      </c>
      <c r="H23" s="25">
        <f>AVERAGE(C23:E23)</f>
        <v>1314000</v>
      </c>
      <c r="J23" s="2">
        <f t="shared" si="0"/>
        <v>0.80416025632875177</v>
      </c>
    </row>
    <row r="24" spans="1:10" x14ac:dyDescent="0.2">
      <c r="A24" s="14"/>
      <c r="B24" s="15">
        <v>5</v>
      </c>
      <c r="C24" s="16">
        <v>7492000</v>
      </c>
      <c r="D24" s="16">
        <v>7360000</v>
      </c>
      <c r="E24" s="17">
        <v>7279000</v>
      </c>
      <c r="F24" s="16"/>
      <c r="G24" s="1">
        <v>100</v>
      </c>
      <c r="H24" s="25">
        <f>AVERAGE(C24:E24)</f>
        <v>7377000</v>
      </c>
      <c r="J24" s="2">
        <f t="shared" si="0"/>
        <v>4.6586275731414259</v>
      </c>
    </row>
    <row r="25" spans="1:10" ht="13.5" thickBot="1" x14ac:dyDescent="0.25">
      <c r="A25" s="18"/>
      <c r="B25" s="19">
        <v>25</v>
      </c>
      <c r="C25" s="20">
        <v>7640000</v>
      </c>
      <c r="D25" s="20">
        <v>7630000</v>
      </c>
      <c r="E25" s="21">
        <v>7629000</v>
      </c>
      <c r="F25" s="16"/>
      <c r="G25" s="1">
        <v>500</v>
      </c>
      <c r="H25" s="25">
        <f>AVERAGE(C25:E25)</f>
        <v>7633000</v>
      </c>
      <c r="J25" s="2">
        <f t="shared" si="0"/>
        <v>24.106879934900636</v>
      </c>
    </row>
    <row r="26" spans="1:10" x14ac:dyDescent="0.2">
      <c r="C26" s="1"/>
      <c r="D26" s="1"/>
      <c r="E26" s="1"/>
      <c r="F26" s="1"/>
      <c r="G26" s="1"/>
      <c r="J26" s="2"/>
    </row>
    <row r="27" spans="1:10" x14ac:dyDescent="0.2">
      <c r="J27" s="2"/>
    </row>
    <row r="28" spans="1:10" ht="13.5" thickBot="1" x14ac:dyDescent="0.25">
      <c r="B28" t="s">
        <v>291</v>
      </c>
      <c r="J28" s="2"/>
    </row>
    <row r="29" spans="1:10" x14ac:dyDescent="0.2">
      <c r="A29" s="10" t="s">
        <v>294</v>
      </c>
      <c r="B29" s="11">
        <v>0</v>
      </c>
      <c r="C29" s="12">
        <v>125500</v>
      </c>
      <c r="D29" s="12">
        <v>118300</v>
      </c>
      <c r="E29" s="13">
        <v>113900</v>
      </c>
      <c r="F29" s="16"/>
      <c r="G29" s="1">
        <v>10</v>
      </c>
      <c r="H29" s="25">
        <f>AVERAGE(C29:E29)</f>
        <v>119233.33333333333</v>
      </c>
      <c r="J29" s="2">
        <f t="shared" si="0"/>
        <v>4.460408481565775E-3</v>
      </c>
    </row>
    <row r="30" spans="1:10" x14ac:dyDescent="0.2">
      <c r="A30" s="14"/>
      <c r="B30" s="15">
        <v>0.1</v>
      </c>
      <c r="C30" s="16">
        <v>242400</v>
      </c>
      <c r="D30" s="16">
        <v>233400</v>
      </c>
      <c r="E30" s="17">
        <v>245400</v>
      </c>
      <c r="F30" s="16"/>
      <c r="G30" s="1">
        <v>10</v>
      </c>
      <c r="H30" s="25">
        <f>AVERAGE(C30:E30)</f>
        <v>240400</v>
      </c>
      <c r="J30" s="2">
        <f t="shared" si="0"/>
        <v>1.216340957926992E-2</v>
      </c>
    </row>
    <row r="31" spans="1:10" x14ac:dyDescent="0.2">
      <c r="A31" s="14"/>
      <c r="B31" s="15">
        <v>0.25</v>
      </c>
      <c r="C31" s="16">
        <v>501700</v>
      </c>
      <c r="D31" s="16">
        <v>459200</v>
      </c>
      <c r="E31" s="17">
        <v>479100</v>
      </c>
      <c r="F31" s="16"/>
      <c r="G31" s="1">
        <v>10</v>
      </c>
      <c r="H31" s="25">
        <f>AVERAGE(C31:E31)</f>
        <v>480000</v>
      </c>
      <c r="J31" s="2">
        <f t="shared" si="0"/>
        <v>2.7395643936985847E-2</v>
      </c>
    </row>
    <row r="32" spans="1:10" x14ac:dyDescent="0.2">
      <c r="A32" s="14"/>
      <c r="B32" s="15">
        <v>0.5</v>
      </c>
      <c r="C32" s="16">
        <v>1257000</v>
      </c>
      <c r="D32" s="16">
        <v>1144000</v>
      </c>
      <c r="E32" s="17">
        <v>1143000</v>
      </c>
      <c r="F32" s="16"/>
      <c r="G32" s="1">
        <v>10</v>
      </c>
      <c r="H32" s="25">
        <f>AVERAGE(C32:E32)</f>
        <v>1181333.3333333333</v>
      </c>
      <c r="J32" s="2">
        <f t="shared" si="0"/>
        <v>7.1981928144879984E-2</v>
      </c>
    </row>
    <row r="33" spans="1:10" x14ac:dyDescent="0.2">
      <c r="A33" s="14"/>
      <c r="B33" s="15">
        <v>1</v>
      </c>
      <c r="C33" s="16">
        <v>765900</v>
      </c>
      <c r="D33" s="16">
        <v>771600</v>
      </c>
      <c r="E33" s="17">
        <v>767500</v>
      </c>
      <c r="F33" s="16"/>
      <c r="G33" s="1">
        <v>100</v>
      </c>
      <c r="H33" s="25">
        <f>AVERAGE(C33:E33)</f>
        <v>768333.33333333337</v>
      </c>
      <c r="J33" s="2">
        <f t="shared" si="0"/>
        <v>0.457260316935583</v>
      </c>
    </row>
    <row r="34" spans="1:10" x14ac:dyDescent="0.2">
      <c r="A34" s="14"/>
      <c r="B34" s="15">
        <v>5</v>
      </c>
      <c r="C34" s="16">
        <v>6672000</v>
      </c>
      <c r="D34" s="16">
        <v>6643000</v>
      </c>
      <c r="E34" s="17">
        <v>6605000</v>
      </c>
      <c r="F34" s="16"/>
      <c r="G34" s="1">
        <v>100</v>
      </c>
      <c r="H34" s="25">
        <f>AVERAGE(C34:E34)</f>
        <v>6640000</v>
      </c>
      <c r="J34" s="2">
        <f t="shared" si="0"/>
        <v>4.1900901473636019</v>
      </c>
    </row>
    <row r="35" spans="1:10" ht="13.5" thickBot="1" x14ac:dyDescent="0.25">
      <c r="A35" s="18"/>
      <c r="B35" s="19">
        <v>25</v>
      </c>
      <c r="C35" s="20">
        <v>6812000</v>
      </c>
      <c r="D35" s="20">
        <v>6838000</v>
      </c>
      <c r="E35" s="21">
        <v>6941000</v>
      </c>
      <c r="F35" s="16"/>
      <c r="G35" s="1">
        <v>500</v>
      </c>
      <c r="H35" s="25">
        <f>AVERAGE(C35:E35)</f>
        <v>6863666.666666667</v>
      </c>
      <c r="J35" s="2">
        <f t="shared" si="0"/>
        <v>21.661415487376402</v>
      </c>
    </row>
    <row r="36" spans="1:10" x14ac:dyDescent="0.2">
      <c r="A36" s="10" t="s">
        <v>295</v>
      </c>
      <c r="B36" s="11">
        <v>0</v>
      </c>
      <c r="C36" s="12">
        <v>109900</v>
      </c>
      <c r="D36" s="12">
        <v>112300</v>
      </c>
      <c r="E36" s="13">
        <v>111700</v>
      </c>
      <c r="F36" s="16"/>
      <c r="G36" s="1">
        <v>10</v>
      </c>
      <c r="H36" s="25">
        <f>AVERAGE(C36:E36)</f>
        <v>111300</v>
      </c>
      <c r="J36" s="2">
        <f t="shared" si="0"/>
        <v>3.95605792826355E-3</v>
      </c>
    </row>
    <row r="37" spans="1:10" x14ac:dyDescent="0.2">
      <c r="A37" s="14"/>
      <c r="B37" s="15">
        <v>0.1</v>
      </c>
      <c r="C37" s="16">
        <v>105300</v>
      </c>
      <c r="D37" s="16">
        <v>97720</v>
      </c>
      <c r="E37" s="17">
        <v>105000</v>
      </c>
      <c r="F37" s="16"/>
      <c r="G37" s="1">
        <v>10</v>
      </c>
      <c r="H37" s="25">
        <f>AVERAGE(C37:E37)</f>
        <v>102673.33333333333</v>
      </c>
      <c r="J37" s="2">
        <f t="shared" si="0"/>
        <v>3.4076296795466777E-3</v>
      </c>
    </row>
    <row r="38" spans="1:10" x14ac:dyDescent="0.2">
      <c r="A38" s="14"/>
      <c r="B38" s="15">
        <v>0.25</v>
      </c>
      <c r="C38" s="16">
        <v>183200</v>
      </c>
      <c r="D38" s="16">
        <v>161600</v>
      </c>
      <c r="E38" s="17">
        <v>150800</v>
      </c>
      <c r="F38" s="16"/>
      <c r="G38" s="1">
        <v>10</v>
      </c>
      <c r="H38" s="25">
        <f>AVERAGE(C38:E38)</f>
        <v>165200</v>
      </c>
      <c r="J38" s="2">
        <f t="shared" si="0"/>
        <v>7.3826749227580771E-3</v>
      </c>
    </row>
    <row r="39" spans="1:10" x14ac:dyDescent="0.2">
      <c r="A39" s="14"/>
      <c r="B39" s="15">
        <v>0.5</v>
      </c>
      <c r="C39" s="16">
        <v>520300</v>
      </c>
      <c r="D39" s="16">
        <v>354100</v>
      </c>
      <c r="E39" s="17">
        <v>391600</v>
      </c>
      <c r="F39" s="16"/>
      <c r="G39" s="1">
        <v>10</v>
      </c>
      <c r="H39" s="25">
        <f>AVERAGE(C39:E39)</f>
        <v>422000</v>
      </c>
      <c r="J39" s="2">
        <f t="shared" si="0"/>
        <v>2.3708375185952774E-2</v>
      </c>
    </row>
    <row r="40" spans="1:10" x14ac:dyDescent="0.2">
      <c r="A40" s="14"/>
      <c r="B40" s="15">
        <v>1</v>
      </c>
      <c r="C40" s="16">
        <v>306700</v>
      </c>
      <c r="D40" s="16">
        <v>275500</v>
      </c>
      <c r="E40" s="17">
        <v>312900</v>
      </c>
      <c r="F40" s="16"/>
      <c r="G40" s="1">
        <v>100</v>
      </c>
      <c r="H40" s="25">
        <f>AVERAGE(C40:E40)</f>
        <v>298366.66666666669</v>
      </c>
      <c r="J40" s="2">
        <f t="shared" si="0"/>
        <v>0.15848559210331134</v>
      </c>
    </row>
    <row r="41" spans="1:10" x14ac:dyDescent="0.2">
      <c r="A41" s="14"/>
      <c r="B41" s="15">
        <v>5</v>
      </c>
      <c r="C41" s="16">
        <v>6829000</v>
      </c>
      <c r="D41" s="16">
        <v>6909000</v>
      </c>
      <c r="E41" s="17">
        <v>6592000</v>
      </c>
      <c r="F41" s="16"/>
      <c r="G41" s="1">
        <v>100</v>
      </c>
      <c r="H41" s="25">
        <f>AVERAGE(C41:E41)</f>
        <v>6776666.666666667</v>
      </c>
      <c r="J41" s="2">
        <f t="shared" si="0"/>
        <v>4.2769740662097844</v>
      </c>
    </row>
    <row r="42" spans="1:10" ht="13.5" thickBot="1" x14ac:dyDescent="0.25">
      <c r="A42" s="18"/>
      <c r="B42" s="19">
        <v>25</v>
      </c>
      <c r="C42" s="20">
        <v>7499000</v>
      </c>
      <c r="D42" s="20">
        <v>7515000</v>
      </c>
      <c r="E42" s="21">
        <v>7483000</v>
      </c>
      <c r="F42" s="16"/>
      <c r="G42" s="1">
        <v>500</v>
      </c>
      <c r="H42" s="25">
        <f>AVERAGE(C42:E42)</f>
        <v>7499000</v>
      </c>
      <c r="J42" s="2">
        <f t="shared" si="0"/>
        <v>23.680936820557157</v>
      </c>
    </row>
    <row r="43" spans="1:10" x14ac:dyDescent="0.2">
      <c r="C43" s="1"/>
      <c r="D43" s="1"/>
      <c r="E43" s="1"/>
      <c r="F43" s="1"/>
      <c r="G43" s="1"/>
      <c r="J43" s="2"/>
    </row>
    <row r="44" spans="1:10" x14ac:dyDescent="0.2">
      <c r="J44" s="2"/>
    </row>
    <row r="45" spans="1:10" ht="13.5" thickBot="1" x14ac:dyDescent="0.25">
      <c r="B45" t="s">
        <v>292</v>
      </c>
      <c r="J45" s="2"/>
    </row>
    <row r="46" spans="1:10" x14ac:dyDescent="0.2">
      <c r="A46" s="10" t="s">
        <v>294</v>
      </c>
      <c r="B46" s="11">
        <v>0</v>
      </c>
      <c r="C46" s="12">
        <v>48610</v>
      </c>
      <c r="D46" s="12">
        <v>47170</v>
      </c>
      <c r="E46" s="13">
        <v>47900</v>
      </c>
      <c r="F46" s="16"/>
      <c r="G46" s="1">
        <v>10</v>
      </c>
      <c r="H46" s="25">
        <f>AVERAGE(C46:E46)</f>
        <v>47893.333333333336</v>
      </c>
      <c r="J46" s="2">
        <f t="shared" si="0"/>
        <v>-7.4932082204901801E-5</v>
      </c>
    </row>
    <row r="47" spans="1:10" x14ac:dyDescent="0.2">
      <c r="A47" s="14"/>
      <c r="B47" s="15">
        <v>0.1</v>
      </c>
      <c r="C47" s="16">
        <v>52010</v>
      </c>
      <c r="D47" s="16">
        <v>51690</v>
      </c>
      <c r="E47" s="17">
        <v>63530</v>
      </c>
      <c r="F47" s="16"/>
      <c r="G47" s="1">
        <v>10</v>
      </c>
      <c r="H47" s="25">
        <f>AVERAGE(C47:E47)</f>
        <v>55743.333333333336</v>
      </c>
      <c r="J47" s="2">
        <f t="shared" si="0"/>
        <v>4.2412067116767764E-4</v>
      </c>
    </row>
    <row r="48" spans="1:10" x14ac:dyDescent="0.2">
      <c r="A48" s="14"/>
      <c r="B48" s="15">
        <v>0.25</v>
      </c>
      <c r="C48" s="16">
        <v>63260</v>
      </c>
      <c r="D48" s="16">
        <v>56030</v>
      </c>
      <c r="E48" s="17">
        <v>87120</v>
      </c>
      <c r="F48" s="16"/>
      <c r="G48" s="1">
        <v>10</v>
      </c>
      <c r="H48" s="25">
        <f>AVERAGE(C48:E48)</f>
        <v>68803.333333333328</v>
      </c>
      <c r="J48" s="2">
        <f t="shared" si="0"/>
        <v>1.2543918761416756E-3</v>
      </c>
    </row>
    <row r="49" spans="1:10" x14ac:dyDescent="0.2">
      <c r="A49" s="14"/>
      <c r="B49" s="15">
        <v>0.5</v>
      </c>
      <c r="C49" s="16">
        <v>81950</v>
      </c>
      <c r="D49" s="16">
        <v>71280</v>
      </c>
      <c r="E49" s="17">
        <v>135600</v>
      </c>
      <c r="F49" s="16"/>
      <c r="G49" s="1">
        <v>10</v>
      </c>
      <c r="H49" s="25">
        <f>AVERAGE(C49:E49)</f>
        <v>96276.666666666672</v>
      </c>
      <c r="J49" s="2">
        <f t="shared" si="0"/>
        <v>3.0009705569471112E-3</v>
      </c>
    </row>
    <row r="50" spans="1:10" x14ac:dyDescent="0.2">
      <c r="A50" s="14"/>
      <c r="B50" s="15">
        <v>1</v>
      </c>
      <c r="C50" s="16">
        <v>130600</v>
      </c>
      <c r="D50" s="16">
        <v>112200</v>
      </c>
      <c r="E50" s="17">
        <v>137300</v>
      </c>
      <c r="F50" s="16"/>
      <c r="G50" s="1">
        <v>100</v>
      </c>
      <c r="H50" s="25">
        <f>AVERAGE(C50:E50)</f>
        <v>126700</v>
      </c>
      <c r="J50" s="2">
        <f t="shared" si="0"/>
        <v>4.935091355261987E-2</v>
      </c>
    </row>
    <row r="51" spans="1:10" x14ac:dyDescent="0.2">
      <c r="A51" s="14"/>
      <c r="B51" s="15">
        <v>5</v>
      </c>
      <c r="C51" s="16">
        <v>5253000</v>
      </c>
      <c r="D51" s="16">
        <v>5115000</v>
      </c>
      <c r="E51" s="17">
        <v>5391000</v>
      </c>
      <c r="F51" s="16"/>
      <c r="G51" s="1">
        <v>100</v>
      </c>
      <c r="H51" s="25">
        <f>AVERAGE(C51:E51)</f>
        <v>5253000</v>
      </c>
      <c r="J51" s="2">
        <f t="shared" si="0"/>
        <v>3.308324327073453</v>
      </c>
    </row>
    <row r="52" spans="1:10" ht="13.5" thickBot="1" x14ac:dyDescent="0.25">
      <c r="A52" s="18"/>
      <c r="B52" s="19">
        <v>25</v>
      </c>
      <c r="C52" s="20">
        <v>6887000</v>
      </c>
      <c r="D52" s="20">
        <v>6586000</v>
      </c>
      <c r="E52" s="21">
        <v>6958000</v>
      </c>
      <c r="F52" s="16"/>
      <c r="G52" s="1">
        <v>500</v>
      </c>
      <c r="H52" s="25">
        <f>AVERAGE(C52:E52)</f>
        <v>6810333.333333333</v>
      </c>
      <c r="J52" s="2">
        <f t="shared" si="0"/>
        <v>21.491885889627753</v>
      </c>
    </row>
    <row r="53" spans="1:10" x14ac:dyDescent="0.2">
      <c r="A53" s="10" t="s">
        <v>295</v>
      </c>
      <c r="B53" s="11">
        <v>0</v>
      </c>
      <c r="C53" s="12">
        <v>81060</v>
      </c>
      <c r="D53" s="12">
        <v>79520</v>
      </c>
      <c r="E53" s="13">
        <v>80490</v>
      </c>
      <c r="F53" s="16"/>
      <c r="G53" s="1">
        <v>10</v>
      </c>
      <c r="H53" s="25">
        <f>AVERAGE(C53:E53)</f>
        <v>80356.666666666672</v>
      </c>
      <c r="J53" s="2">
        <f t="shared" si="0"/>
        <v>1.988878858387689E-3</v>
      </c>
    </row>
    <row r="54" spans="1:10" x14ac:dyDescent="0.2">
      <c r="A54" s="14"/>
      <c r="B54" s="15">
        <v>0.1</v>
      </c>
      <c r="C54" s="16">
        <v>32610</v>
      </c>
      <c r="D54" s="16">
        <v>30910</v>
      </c>
      <c r="E54" s="17">
        <v>31270</v>
      </c>
      <c r="F54" s="16"/>
      <c r="G54" s="1">
        <v>10</v>
      </c>
      <c r="H54" s="25">
        <f>AVERAGE(C54:E54)</f>
        <v>31596.666666666668</v>
      </c>
      <c r="J54" s="2">
        <f t="shared" si="0"/>
        <v>-1.1109698364463205E-3</v>
      </c>
    </row>
    <row r="55" spans="1:10" x14ac:dyDescent="0.2">
      <c r="A55" s="14"/>
      <c r="B55" s="15">
        <v>0.25</v>
      </c>
      <c r="C55" s="16">
        <v>27380</v>
      </c>
      <c r="D55" s="16">
        <v>24650</v>
      </c>
      <c r="E55" s="17">
        <v>25450</v>
      </c>
      <c r="F55" s="16"/>
      <c r="G55" s="1">
        <v>10</v>
      </c>
      <c r="H55" s="25">
        <f>AVERAGE(C55:E55)</f>
        <v>25826.666666666668</v>
      </c>
      <c r="J55" s="2">
        <f t="shared" si="0"/>
        <v>-1.4777895035749554E-3</v>
      </c>
    </row>
    <row r="56" spans="1:10" x14ac:dyDescent="0.2">
      <c r="A56" s="14"/>
      <c r="B56" s="15">
        <v>0.5</v>
      </c>
      <c r="C56" s="16">
        <v>39130</v>
      </c>
      <c r="D56" s="16">
        <v>30560</v>
      </c>
      <c r="E56" s="17">
        <v>27760</v>
      </c>
      <c r="F56" s="16"/>
      <c r="G56" s="1">
        <v>10</v>
      </c>
      <c r="H56" s="25">
        <f>AVERAGE(C56:E56)</f>
        <v>32483.333333333332</v>
      </c>
      <c r="J56" s="2">
        <f t="shared" si="0"/>
        <v>-1.0546012451948955E-3</v>
      </c>
    </row>
    <row r="57" spans="1:10" x14ac:dyDescent="0.2">
      <c r="A57" s="14"/>
      <c r="B57" s="15">
        <v>1</v>
      </c>
      <c r="C57" s="16">
        <v>73400</v>
      </c>
      <c r="D57" s="16">
        <v>65050</v>
      </c>
      <c r="E57" s="17">
        <v>58160</v>
      </c>
      <c r="F57" s="16"/>
      <c r="G57" s="1">
        <v>100</v>
      </c>
      <c r="H57" s="25">
        <f>AVERAGE(C57:E57)</f>
        <v>65536.666666666672</v>
      </c>
      <c r="J57" s="2">
        <f t="shared" si="0"/>
        <v>1.0467181188995837E-2</v>
      </c>
    </row>
    <row r="58" spans="1:10" x14ac:dyDescent="0.2">
      <c r="A58" s="14"/>
      <c r="B58" s="15">
        <v>5</v>
      </c>
      <c r="C58" s="16">
        <v>4179000</v>
      </c>
      <c r="D58" s="16">
        <v>4198000</v>
      </c>
      <c r="E58" s="17">
        <v>3808000</v>
      </c>
      <c r="F58" s="16"/>
      <c r="G58" s="1">
        <v>100</v>
      </c>
      <c r="H58" s="25">
        <f>AVERAGE(C58:E58)</f>
        <v>4061666.6666666665</v>
      </c>
      <c r="J58" s="2">
        <f t="shared" si="0"/>
        <v>2.5509508491313726</v>
      </c>
    </row>
    <row r="59" spans="1:10" ht="13.5" thickBot="1" x14ac:dyDescent="0.25">
      <c r="A59" s="18"/>
      <c r="B59" s="19">
        <v>25</v>
      </c>
      <c r="C59" s="20">
        <v>7446000</v>
      </c>
      <c r="D59" s="20">
        <v>7424000</v>
      </c>
      <c r="E59" s="21">
        <v>7466000</v>
      </c>
      <c r="F59" s="16"/>
      <c r="G59" s="1">
        <v>500</v>
      </c>
      <c r="H59" s="25">
        <f>AVERAGE(C59:E59)</f>
        <v>7445333.333333333</v>
      </c>
      <c r="J59" s="2">
        <f t="shared" si="0"/>
        <v>23.510347662822582</v>
      </c>
    </row>
    <row r="60" spans="1:10" x14ac:dyDescent="0.2">
      <c r="C60" s="1"/>
      <c r="D60" s="1"/>
      <c r="E60" s="1"/>
      <c r="F60" s="1"/>
      <c r="G60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uminescence 1_01"/>
  <dimension ref="A1:Y46"/>
  <sheetViews>
    <sheetView workbookViewId="0">
      <selection activeCell="S26" sqref="S26"/>
    </sheetView>
  </sheetViews>
  <sheetFormatPr defaultColWidth="9.140625" defaultRowHeight="15" customHeight="1" x14ac:dyDescent="0.2"/>
  <cols>
    <col min="1" max="1" width="21.42578125" customWidth="1"/>
    <col min="2" max="13" width="9.140625" customWidth="1"/>
    <col min="14" max="25" width="4" customWidth="1"/>
  </cols>
  <sheetData>
    <row r="1" spans="1:25" ht="15" customHeight="1" x14ac:dyDescent="0.2">
      <c r="A1" t="s">
        <v>0</v>
      </c>
    </row>
    <row r="2" spans="1:25" ht="15" customHeight="1" x14ac:dyDescent="0.2">
      <c r="A2" t="s">
        <v>1</v>
      </c>
    </row>
    <row r="3" spans="1:25" ht="15" customHeight="1" x14ac:dyDescent="0.2">
      <c r="A3" t="s">
        <v>2</v>
      </c>
    </row>
    <row r="4" spans="1:25" ht="15" customHeight="1" x14ac:dyDescent="0.2">
      <c r="A4" t="s">
        <v>3</v>
      </c>
    </row>
    <row r="5" spans="1:25" ht="15" customHeight="1" x14ac:dyDescent="0.2">
      <c r="A5" t="s">
        <v>4</v>
      </c>
    </row>
    <row r="6" spans="1:25" ht="15" customHeight="1" x14ac:dyDescent="0.2">
      <c r="A6" t="s">
        <v>5</v>
      </c>
    </row>
    <row r="7" spans="1:25" ht="15" customHeight="1" x14ac:dyDescent="0.2">
      <c r="A7" t="s">
        <v>3</v>
      </c>
    </row>
    <row r="8" spans="1:25" ht="15" customHeight="1" x14ac:dyDescent="0.2">
      <c r="A8" t="s">
        <v>6</v>
      </c>
    </row>
    <row r="9" spans="1:25" ht="15" customHeight="1" x14ac:dyDescent="0.2">
      <c r="A9" t="s">
        <v>3</v>
      </c>
    </row>
    <row r="10" spans="1:25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</row>
    <row r="11" spans="1:25" ht="15" customHeight="1" x14ac:dyDescent="0.2">
      <c r="A11" t="s">
        <v>8</v>
      </c>
      <c r="B11" s="1">
        <v>397300</v>
      </c>
      <c r="C11" s="1">
        <v>410600</v>
      </c>
      <c r="D11" s="1">
        <v>424700</v>
      </c>
      <c r="E11" s="1">
        <v>125500</v>
      </c>
      <c r="F11" s="1">
        <v>118300</v>
      </c>
      <c r="G11" s="1">
        <v>113900</v>
      </c>
      <c r="H11" s="1">
        <v>48610</v>
      </c>
      <c r="I11" s="1">
        <v>47170</v>
      </c>
      <c r="J11" s="1">
        <v>47900</v>
      </c>
      <c r="K11" s="1">
        <v>104700</v>
      </c>
      <c r="L11" s="1">
        <v>108300</v>
      </c>
      <c r="M11" s="1">
        <v>105500</v>
      </c>
    </row>
    <row r="12" spans="1:25" ht="15" customHeight="1" x14ac:dyDescent="0.2">
      <c r="A12" t="s">
        <v>9</v>
      </c>
      <c r="B12" s="1">
        <v>930300</v>
      </c>
      <c r="C12" s="1">
        <v>975200</v>
      </c>
      <c r="D12" s="1">
        <v>1048000</v>
      </c>
      <c r="E12" s="1">
        <v>242400</v>
      </c>
      <c r="F12" s="1">
        <v>233400</v>
      </c>
      <c r="G12" s="1">
        <v>245400</v>
      </c>
      <c r="H12" s="1">
        <v>52010</v>
      </c>
      <c r="I12" s="1">
        <v>51690</v>
      </c>
      <c r="J12" s="1">
        <v>63530</v>
      </c>
      <c r="K12" s="1">
        <v>1207000</v>
      </c>
      <c r="L12" s="1">
        <v>1241000</v>
      </c>
      <c r="M12" s="1">
        <v>1267000</v>
      </c>
    </row>
    <row r="13" spans="1:25" ht="15" customHeight="1" x14ac:dyDescent="0.2">
      <c r="A13" t="s">
        <v>10</v>
      </c>
      <c r="B13" s="1">
        <v>2087000</v>
      </c>
      <c r="C13" s="1">
        <v>2151000</v>
      </c>
      <c r="D13" s="1">
        <v>2255000</v>
      </c>
      <c r="E13" s="1">
        <v>501700</v>
      </c>
      <c r="F13" s="1">
        <v>459200</v>
      </c>
      <c r="G13" s="1">
        <v>479100</v>
      </c>
      <c r="H13" s="1">
        <v>63260</v>
      </c>
      <c r="I13" s="1">
        <v>56030</v>
      </c>
      <c r="J13" s="1">
        <v>87120</v>
      </c>
      <c r="K13" s="1">
        <v>3024000</v>
      </c>
      <c r="L13" s="1">
        <v>3300000</v>
      </c>
      <c r="M13" s="1">
        <v>3270000</v>
      </c>
    </row>
    <row r="14" spans="1:25" ht="15" customHeight="1" x14ac:dyDescent="0.2">
      <c r="A14" t="s">
        <v>11</v>
      </c>
      <c r="B14" s="1">
        <v>4651000</v>
      </c>
      <c r="C14" s="1">
        <v>4655000</v>
      </c>
      <c r="D14" s="1">
        <v>4679000</v>
      </c>
      <c r="E14" s="1">
        <v>1257000</v>
      </c>
      <c r="F14" s="1">
        <v>1144000</v>
      </c>
      <c r="G14" s="1">
        <v>1143000</v>
      </c>
      <c r="H14" s="1">
        <v>81950</v>
      </c>
      <c r="I14" s="1">
        <v>71280</v>
      </c>
      <c r="J14" s="1">
        <v>135600</v>
      </c>
      <c r="K14" s="1">
        <v>5838000</v>
      </c>
      <c r="L14" s="1">
        <v>5948000</v>
      </c>
      <c r="M14" s="1">
        <v>5970000</v>
      </c>
    </row>
    <row r="15" spans="1:25" ht="15" customHeight="1" x14ac:dyDescent="0.2">
      <c r="A15" t="s">
        <v>12</v>
      </c>
      <c r="B15" s="1">
        <v>1827000</v>
      </c>
      <c r="C15" s="1">
        <v>1825000</v>
      </c>
      <c r="D15" s="1">
        <v>1819000</v>
      </c>
      <c r="E15" s="1">
        <v>765900</v>
      </c>
      <c r="F15" s="1">
        <v>771600</v>
      </c>
      <c r="G15" s="1">
        <v>767500</v>
      </c>
      <c r="H15" s="1">
        <v>130600</v>
      </c>
      <c r="I15" s="1">
        <v>112200</v>
      </c>
      <c r="J15" s="1">
        <v>137300</v>
      </c>
      <c r="K15" s="1">
        <v>2000000</v>
      </c>
      <c r="L15" s="1">
        <v>2091000</v>
      </c>
      <c r="M15" s="1">
        <v>2183000</v>
      </c>
    </row>
    <row r="16" spans="1:25" ht="15" customHeight="1" x14ac:dyDescent="0.2">
      <c r="A16" t="s">
        <v>13</v>
      </c>
      <c r="B16" s="1">
        <v>7158000</v>
      </c>
      <c r="C16" s="1">
        <v>7100000</v>
      </c>
      <c r="D16" s="1">
        <v>7161000</v>
      </c>
      <c r="E16" s="1">
        <v>6672000</v>
      </c>
      <c r="F16" s="1">
        <v>6643000</v>
      </c>
      <c r="G16" s="1">
        <v>6605000</v>
      </c>
      <c r="H16" s="1">
        <v>5253000</v>
      </c>
      <c r="I16" s="1">
        <v>5115000</v>
      </c>
      <c r="J16" s="1">
        <v>5391000</v>
      </c>
      <c r="K16" s="1">
        <v>7221000</v>
      </c>
      <c r="L16" s="1">
        <v>7229000</v>
      </c>
      <c r="M16" s="1">
        <v>7287000</v>
      </c>
    </row>
    <row r="17" spans="1:25" ht="15" customHeight="1" x14ac:dyDescent="0.2">
      <c r="A17" t="s">
        <v>14</v>
      </c>
      <c r="B17" s="1">
        <v>7253000</v>
      </c>
      <c r="C17" s="1">
        <v>7041000</v>
      </c>
      <c r="D17" s="1">
        <v>7032000</v>
      </c>
      <c r="E17" s="1">
        <v>6812000</v>
      </c>
      <c r="F17" s="1">
        <v>6838000</v>
      </c>
      <c r="G17" s="1">
        <v>6941000</v>
      </c>
      <c r="H17" s="1">
        <v>6887000</v>
      </c>
      <c r="I17" s="1">
        <v>6586000</v>
      </c>
      <c r="J17" s="1">
        <v>6958000</v>
      </c>
      <c r="K17" s="1">
        <v>7105000</v>
      </c>
      <c r="L17" s="1">
        <v>7132000</v>
      </c>
      <c r="M17" s="1">
        <v>7134000</v>
      </c>
    </row>
    <row r="18" spans="1:25" ht="15" customHeight="1" x14ac:dyDescent="0.2">
      <c r="A18" t="s">
        <v>15</v>
      </c>
      <c r="B18" s="1">
        <v>167600</v>
      </c>
      <c r="C18" s="1">
        <v>244000</v>
      </c>
      <c r="D18" s="1">
        <v>248600</v>
      </c>
      <c r="E18" s="1">
        <v>109900</v>
      </c>
      <c r="F18" s="1">
        <v>112300</v>
      </c>
      <c r="G18" s="1">
        <v>111700</v>
      </c>
      <c r="H18" s="1">
        <v>81060</v>
      </c>
      <c r="I18" s="1">
        <v>79520</v>
      </c>
      <c r="J18" s="1">
        <v>80490</v>
      </c>
      <c r="K18" s="1">
        <v>75480</v>
      </c>
      <c r="L18" s="1">
        <v>72850</v>
      </c>
      <c r="M18" s="1">
        <v>79820</v>
      </c>
    </row>
    <row r="19" spans="1:25" ht="15" customHeight="1" x14ac:dyDescent="0.2">
      <c r="A19" t="s">
        <v>16</v>
      </c>
      <c r="B19" s="1">
        <v>678200</v>
      </c>
      <c r="C19" s="1">
        <v>649300</v>
      </c>
      <c r="D19" s="1">
        <v>636600</v>
      </c>
      <c r="E19" s="1">
        <v>105300</v>
      </c>
      <c r="F19" s="1">
        <v>97720</v>
      </c>
      <c r="G19" s="1">
        <v>105000</v>
      </c>
      <c r="H19" s="1">
        <v>32610</v>
      </c>
      <c r="I19" s="1">
        <v>30910</v>
      </c>
      <c r="J19" s="1">
        <v>31270</v>
      </c>
      <c r="K19" s="1">
        <v>20320</v>
      </c>
      <c r="L19" s="1">
        <v>18450</v>
      </c>
      <c r="M19" s="1">
        <v>17810</v>
      </c>
    </row>
    <row r="20" spans="1:25" ht="15" customHeight="1" x14ac:dyDescent="0.2">
      <c r="A20" t="s">
        <v>17</v>
      </c>
      <c r="B20" s="1">
        <v>1699000</v>
      </c>
      <c r="C20" s="1">
        <v>1616000</v>
      </c>
      <c r="D20" s="1">
        <v>1554000</v>
      </c>
      <c r="E20" s="1">
        <v>183200</v>
      </c>
      <c r="F20" s="1">
        <v>161600</v>
      </c>
      <c r="G20" s="1">
        <v>150800</v>
      </c>
      <c r="H20" s="1">
        <v>27380</v>
      </c>
      <c r="I20" s="1">
        <v>24650</v>
      </c>
      <c r="J20" s="1">
        <v>25450</v>
      </c>
      <c r="K20" s="1">
        <v>18010</v>
      </c>
      <c r="L20" s="1">
        <v>17340</v>
      </c>
      <c r="M20" s="1">
        <v>21360</v>
      </c>
    </row>
    <row r="21" spans="1:25" ht="15" customHeight="1" x14ac:dyDescent="0.2">
      <c r="A21" t="s">
        <v>18</v>
      </c>
      <c r="B21" s="1">
        <v>3985000</v>
      </c>
      <c r="C21" s="1">
        <v>3812000</v>
      </c>
      <c r="D21" s="1">
        <v>3647000</v>
      </c>
      <c r="E21" s="1">
        <v>520300</v>
      </c>
      <c r="F21" s="1">
        <v>354100</v>
      </c>
      <c r="G21" s="1">
        <v>391600</v>
      </c>
      <c r="H21" s="1">
        <v>39130</v>
      </c>
      <c r="I21" s="1">
        <v>30560</v>
      </c>
      <c r="J21" s="1">
        <v>27760</v>
      </c>
      <c r="K21" s="1">
        <v>28370</v>
      </c>
      <c r="L21" s="1">
        <v>27510</v>
      </c>
      <c r="M21" s="1">
        <v>26250</v>
      </c>
    </row>
    <row r="22" spans="1:25" ht="15" customHeight="1" x14ac:dyDescent="0.2">
      <c r="A22" t="s">
        <v>19</v>
      </c>
      <c r="B22" s="1">
        <v>1351000</v>
      </c>
      <c r="C22" s="1">
        <v>1337000</v>
      </c>
      <c r="D22" s="1">
        <v>1254000</v>
      </c>
      <c r="E22" s="1">
        <v>306700</v>
      </c>
      <c r="F22" s="1">
        <v>275500</v>
      </c>
      <c r="G22" s="1">
        <v>312900</v>
      </c>
      <c r="H22" s="1">
        <v>73400</v>
      </c>
      <c r="I22" s="1">
        <v>65050</v>
      </c>
      <c r="J22" s="1">
        <v>58160</v>
      </c>
      <c r="K22" s="1">
        <v>82620</v>
      </c>
      <c r="L22" s="1">
        <v>80980</v>
      </c>
      <c r="M22" s="1">
        <v>79980</v>
      </c>
    </row>
    <row r="23" spans="1:25" ht="15" customHeight="1" x14ac:dyDescent="0.2">
      <c r="A23" t="s">
        <v>20</v>
      </c>
      <c r="B23" s="1">
        <v>7492000</v>
      </c>
      <c r="C23" s="1">
        <v>7360000</v>
      </c>
      <c r="D23" s="1">
        <v>7279000</v>
      </c>
      <c r="E23" s="1">
        <v>6829000</v>
      </c>
      <c r="F23" s="1">
        <v>6909000</v>
      </c>
      <c r="G23" s="1">
        <v>6592000</v>
      </c>
      <c r="H23" s="1">
        <v>4179000</v>
      </c>
      <c r="I23" s="1">
        <v>4198000</v>
      </c>
      <c r="J23" s="1">
        <v>3808000</v>
      </c>
      <c r="K23" s="1">
        <v>415800</v>
      </c>
      <c r="L23" s="1">
        <v>355400</v>
      </c>
      <c r="M23" s="1">
        <v>355200</v>
      </c>
    </row>
    <row r="24" spans="1:25" ht="15" customHeight="1" x14ac:dyDescent="0.2">
      <c r="A24" t="s">
        <v>21</v>
      </c>
      <c r="B24" s="1">
        <v>7640000</v>
      </c>
      <c r="C24" s="1">
        <v>7630000</v>
      </c>
      <c r="D24" s="1">
        <v>7629000</v>
      </c>
      <c r="E24" s="1">
        <v>7499000</v>
      </c>
      <c r="F24" s="1">
        <v>7515000</v>
      </c>
      <c r="G24" s="1">
        <v>7483000</v>
      </c>
      <c r="H24" s="1">
        <v>7446000</v>
      </c>
      <c r="I24" s="1">
        <v>7424000</v>
      </c>
      <c r="J24" s="1">
        <v>7466000</v>
      </c>
      <c r="K24" s="1">
        <v>1841000</v>
      </c>
      <c r="L24" s="1">
        <v>1775000</v>
      </c>
      <c r="M24" s="1">
        <v>1761000</v>
      </c>
    </row>
    <row r="25" spans="1:25" ht="15" customHeight="1" x14ac:dyDescent="0.2">
      <c r="A25" t="s">
        <v>22</v>
      </c>
      <c r="B25" s="1">
        <v>58900</v>
      </c>
      <c r="C25" s="1">
        <v>64140</v>
      </c>
      <c r="D25" s="1">
        <v>63630</v>
      </c>
      <c r="E25" s="1">
        <v>62070</v>
      </c>
      <c r="F25" s="1">
        <v>60500</v>
      </c>
      <c r="G25" s="1">
        <v>59990</v>
      </c>
      <c r="H25" s="1">
        <v>58760</v>
      </c>
      <c r="I25" s="1">
        <v>57090</v>
      </c>
      <c r="J25" s="1">
        <v>106700</v>
      </c>
      <c r="K25" s="1">
        <v>7843000</v>
      </c>
      <c r="L25" s="1">
        <v>7836000</v>
      </c>
      <c r="M25" s="1">
        <v>7961000</v>
      </c>
    </row>
    <row r="26" spans="1:25" ht="15" customHeight="1" x14ac:dyDescent="0.2">
      <c r="A26" t="s">
        <v>23</v>
      </c>
      <c r="B26" s="1">
        <v>4434</v>
      </c>
      <c r="C26" s="1">
        <v>5546</v>
      </c>
      <c r="D26" s="1">
        <v>5326</v>
      </c>
      <c r="E26" s="1">
        <v>6070</v>
      </c>
      <c r="F26" s="1">
        <v>6215</v>
      </c>
      <c r="G26" s="1">
        <v>5728</v>
      </c>
      <c r="H26" s="1">
        <v>6273</v>
      </c>
      <c r="I26" s="1">
        <v>7056</v>
      </c>
      <c r="J26" s="1">
        <v>10070</v>
      </c>
      <c r="K26" s="1">
        <v>58050</v>
      </c>
      <c r="L26" s="1">
        <v>60900</v>
      </c>
      <c r="M26" s="1">
        <v>55690</v>
      </c>
    </row>
    <row r="28" spans="1:25" ht="15" customHeight="1" x14ac:dyDescent="0.2">
      <c r="A28" t="s">
        <v>24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  <c r="L28" s="1">
        <v>11</v>
      </c>
      <c r="M28" s="1">
        <v>12</v>
      </c>
      <c r="N28" s="1">
        <v>13</v>
      </c>
      <c r="O28" s="1">
        <v>14</v>
      </c>
      <c r="P28" s="1">
        <v>15</v>
      </c>
      <c r="Q28" s="1">
        <v>16</v>
      </c>
      <c r="R28" s="1">
        <v>17</v>
      </c>
      <c r="S28" s="1">
        <v>18</v>
      </c>
      <c r="T28" s="1">
        <v>19</v>
      </c>
      <c r="U28" s="1">
        <v>20</v>
      </c>
      <c r="V28" s="1">
        <v>21</v>
      </c>
      <c r="W28" s="1">
        <v>22</v>
      </c>
      <c r="X28" s="1">
        <v>23</v>
      </c>
      <c r="Y28" s="1">
        <v>24</v>
      </c>
    </row>
    <row r="29" spans="1:25" ht="15" customHeight="1" x14ac:dyDescent="0.2">
      <c r="A29" t="s">
        <v>8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</row>
    <row r="30" spans="1:25" ht="15" customHeight="1" x14ac:dyDescent="0.2">
      <c r="A30" t="s">
        <v>9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</row>
    <row r="31" spans="1:25" ht="15" customHeight="1" x14ac:dyDescent="0.2">
      <c r="A31" t="s">
        <v>10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</row>
    <row r="32" spans="1:25" ht="15" customHeight="1" x14ac:dyDescent="0.2">
      <c r="A32" t="s">
        <v>11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</row>
    <row r="33" spans="1:13" ht="15" customHeight="1" x14ac:dyDescent="0.2">
      <c r="A33" t="s">
        <v>12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</row>
    <row r="34" spans="1:13" ht="15" customHeight="1" x14ac:dyDescent="0.2">
      <c r="A34" t="s">
        <v>13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</row>
    <row r="35" spans="1:13" ht="15" customHeight="1" x14ac:dyDescent="0.2">
      <c r="A35" t="s">
        <v>14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</row>
    <row r="36" spans="1:13" ht="15" customHeight="1" x14ac:dyDescent="0.2">
      <c r="A36" t="s">
        <v>15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</row>
    <row r="37" spans="1:13" ht="15" customHeight="1" x14ac:dyDescent="0.2">
      <c r="A37" t="s">
        <v>16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</row>
    <row r="38" spans="1:13" ht="15" customHeight="1" x14ac:dyDescent="0.2">
      <c r="A38" t="s">
        <v>17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</row>
    <row r="39" spans="1:13" ht="15" customHeight="1" x14ac:dyDescent="0.2">
      <c r="A39" t="s">
        <v>18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</row>
    <row r="40" spans="1:13" ht="15" customHeight="1" x14ac:dyDescent="0.2">
      <c r="A40" t="s">
        <v>19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</row>
    <row r="41" spans="1:13" ht="15" customHeight="1" x14ac:dyDescent="0.2">
      <c r="A41" t="s">
        <v>20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</row>
    <row r="42" spans="1:13" ht="12.75" x14ac:dyDescent="0.2">
      <c r="A42" t="s">
        <v>21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</row>
    <row r="43" spans="1:13" ht="12.75" x14ac:dyDescent="0.2">
      <c r="A43" t="s">
        <v>22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</row>
    <row r="44" spans="1:13" ht="12.75" x14ac:dyDescent="0.2">
      <c r="A44" t="s">
        <v>23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</row>
    <row r="46" spans="1:13" ht="12.75" x14ac:dyDescent="0.2">
      <c r="A4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Result summary"/>
  <dimension ref="A1:E197"/>
  <sheetViews>
    <sheetView workbookViewId="0"/>
  </sheetViews>
  <sheetFormatPr defaultColWidth="9.140625" defaultRowHeight="15" customHeight="1" x14ac:dyDescent="0.2"/>
  <cols>
    <col min="1" max="1" width="16.42578125" customWidth="1"/>
    <col min="2" max="2" width="5.5703125" customWidth="1"/>
    <col min="3" max="3" width="8.5703125" customWidth="1"/>
    <col min="4" max="4" width="8.28515625" customWidth="1"/>
    <col min="5" max="5" width="15.5703125" customWidth="1"/>
  </cols>
  <sheetData>
    <row r="1" spans="1:5" ht="15" customHeight="1" x14ac:dyDescent="0.2">
      <c r="A1" t="s">
        <v>27</v>
      </c>
    </row>
    <row r="3" spans="1:5" ht="15" customHeight="1" x14ac:dyDescent="0.2">
      <c r="A3" t="s">
        <v>28</v>
      </c>
    </row>
    <row r="5" spans="1:5" ht="15" customHeight="1" x14ac:dyDescent="0.2">
      <c r="A5" t="s">
        <v>29</v>
      </c>
      <c r="B5" t="s">
        <v>30</v>
      </c>
      <c r="C5" t="s">
        <v>31</v>
      </c>
      <c r="D5" t="s">
        <v>24</v>
      </c>
      <c r="E5" t="s">
        <v>4</v>
      </c>
    </row>
    <row r="6" spans="1:5" ht="15" customHeight="1" x14ac:dyDescent="0.2">
      <c r="A6" s="2" t="s">
        <v>6</v>
      </c>
      <c r="B6" s="2" t="s">
        <v>32</v>
      </c>
      <c r="C6" s="2" t="s">
        <v>33</v>
      </c>
      <c r="D6" s="2" t="s">
        <v>25</v>
      </c>
      <c r="E6" s="2">
        <v>397300</v>
      </c>
    </row>
    <row r="7" spans="1:5" ht="15" customHeight="1" x14ac:dyDescent="0.2">
      <c r="A7" s="2" t="s">
        <v>6</v>
      </c>
      <c r="B7" s="2" t="s">
        <v>34</v>
      </c>
      <c r="C7" s="2" t="s">
        <v>33</v>
      </c>
      <c r="D7" s="2" t="s">
        <v>25</v>
      </c>
      <c r="E7" s="2">
        <v>930300</v>
      </c>
    </row>
    <row r="8" spans="1:5" ht="15" customHeight="1" x14ac:dyDescent="0.2">
      <c r="A8" s="2" t="s">
        <v>6</v>
      </c>
      <c r="B8" s="2" t="s">
        <v>35</v>
      </c>
      <c r="C8" s="2" t="s">
        <v>33</v>
      </c>
      <c r="D8" s="2" t="s">
        <v>25</v>
      </c>
      <c r="E8" s="2">
        <v>2087000</v>
      </c>
    </row>
    <row r="9" spans="1:5" ht="15" customHeight="1" x14ac:dyDescent="0.2">
      <c r="A9" s="2" t="s">
        <v>6</v>
      </c>
      <c r="B9" s="2" t="s">
        <v>36</v>
      </c>
      <c r="C9" s="2" t="s">
        <v>33</v>
      </c>
      <c r="D9" s="2" t="s">
        <v>25</v>
      </c>
      <c r="E9" s="2">
        <v>4651000</v>
      </c>
    </row>
    <row r="10" spans="1:5" ht="15" customHeight="1" x14ac:dyDescent="0.2">
      <c r="A10" s="2" t="s">
        <v>6</v>
      </c>
      <c r="B10" s="2" t="s">
        <v>37</v>
      </c>
      <c r="C10" s="2" t="s">
        <v>33</v>
      </c>
      <c r="D10" s="2" t="s">
        <v>25</v>
      </c>
      <c r="E10" s="2">
        <v>1827000</v>
      </c>
    </row>
    <row r="11" spans="1:5" ht="15" customHeight="1" x14ac:dyDescent="0.2">
      <c r="A11" s="2" t="s">
        <v>6</v>
      </c>
      <c r="B11" s="2" t="s">
        <v>38</v>
      </c>
      <c r="C11" s="2" t="s">
        <v>33</v>
      </c>
      <c r="D11" s="2" t="s">
        <v>25</v>
      </c>
      <c r="E11" s="2">
        <v>7158000</v>
      </c>
    </row>
    <row r="12" spans="1:5" ht="15" customHeight="1" x14ac:dyDescent="0.2">
      <c r="A12" s="2" t="s">
        <v>6</v>
      </c>
      <c r="B12" s="2" t="s">
        <v>39</v>
      </c>
      <c r="C12" s="2" t="s">
        <v>33</v>
      </c>
      <c r="D12" s="2" t="s">
        <v>25</v>
      </c>
      <c r="E12" s="2">
        <v>7253000</v>
      </c>
    </row>
    <row r="13" spans="1:5" ht="15" customHeight="1" x14ac:dyDescent="0.2">
      <c r="A13" s="2" t="s">
        <v>6</v>
      </c>
      <c r="B13" s="2" t="s">
        <v>40</v>
      </c>
      <c r="C13" s="2" t="s">
        <v>33</v>
      </c>
      <c r="D13" s="2" t="s">
        <v>25</v>
      </c>
      <c r="E13" s="2">
        <v>167600</v>
      </c>
    </row>
    <row r="14" spans="1:5" ht="15" customHeight="1" x14ac:dyDescent="0.2">
      <c r="A14" s="2" t="s">
        <v>6</v>
      </c>
      <c r="B14" s="2" t="s">
        <v>41</v>
      </c>
      <c r="C14" s="2" t="s">
        <v>33</v>
      </c>
      <c r="D14" s="2" t="s">
        <v>25</v>
      </c>
      <c r="E14" s="2">
        <v>678200</v>
      </c>
    </row>
    <row r="15" spans="1:5" ht="15" customHeight="1" x14ac:dyDescent="0.2">
      <c r="A15" s="2" t="s">
        <v>6</v>
      </c>
      <c r="B15" s="2" t="s">
        <v>42</v>
      </c>
      <c r="C15" s="2" t="s">
        <v>33</v>
      </c>
      <c r="D15" s="2" t="s">
        <v>25</v>
      </c>
      <c r="E15" s="2">
        <v>1699000</v>
      </c>
    </row>
    <row r="16" spans="1:5" ht="15" customHeight="1" x14ac:dyDescent="0.2">
      <c r="A16" s="2" t="s">
        <v>6</v>
      </c>
      <c r="B16" s="2" t="s">
        <v>43</v>
      </c>
      <c r="C16" s="2" t="s">
        <v>33</v>
      </c>
      <c r="D16" s="2" t="s">
        <v>25</v>
      </c>
      <c r="E16" s="2">
        <v>3985000</v>
      </c>
    </row>
    <row r="17" spans="1:5" ht="15" customHeight="1" x14ac:dyDescent="0.2">
      <c r="A17" s="2" t="s">
        <v>6</v>
      </c>
      <c r="B17" s="2" t="s">
        <v>44</v>
      </c>
      <c r="C17" s="2" t="s">
        <v>33</v>
      </c>
      <c r="D17" s="2" t="s">
        <v>25</v>
      </c>
      <c r="E17" s="2">
        <v>1351000</v>
      </c>
    </row>
    <row r="18" spans="1:5" ht="15" customHeight="1" x14ac:dyDescent="0.2">
      <c r="A18" s="2" t="s">
        <v>6</v>
      </c>
      <c r="B18" s="2" t="s">
        <v>45</v>
      </c>
      <c r="C18" s="2" t="s">
        <v>33</v>
      </c>
      <c r="D18" s="2" t="s">
        <v>25</v>
      </c>
      <c r="E18" s="2">
        <v>7492000</v>
      </c>
    </row>
    <row r="19" spans="1:5" ht="15" customHeight="1" x14ac:dyDescent="0.2">
      <c r="A19" s="2" t="s">
        <v>6</v>
      </c>
      <c r="B19" s="2" t="s">
        <v>46</v>
      </c>
      <c r="C19" s="2" t="s">
        <v>33</v>
      </c>
      <c r="D19" s="2" t="s">
        <v>25</v>
      </c>
      <c r="E19" s="2">
        <v>7640000</v>
      </c>
    </row>
    <row r="20" spans="1:5" ht="15" customHeight="1" x14ac:dyDescent="0.2">
      <c r="A20" s="2" t="s">
        <v>6</v>
      </c>
      <c r="B20" s="2" t="s">
        <v>47</v>
      </c>
      <c r="C20" s="2" t="s">
        <v>33</v>
      </c>
      <c r="D20" s="2" t="s">
        <v>25</v>
      </c>
      <c r="E20" s="2">
        <v>58900</v>
      </c>
    </row>
    <row r="21" spans="1:5" ht="15" customHeight="1" x14ac:dyDescent="0.2">
      <c r="A21" s="2" t="s">
        <v>6</v>
      </c>
      <c r="B21" s="2" t="s">
        <v>48</v>
      </c>
      <c r="C21" s="2" t="s">
        <v>33</v>
      </c>
      <c r="D21" s="2" t="s">
        <v>25</v>
      </c>
      <c r="E21" s="2">
        <v>4434</v>
      </c>
    </row>
    <row r="22" spans="1:5" ht="15" customHeight="1" x14ac:dyDescent="0.2">
      <c r="A22" s="2" t="s">
        <v>6</v>
      </c>
      <c r="B22" s="2" t="s">
        <v>49</v>
      </c>
      <c r="C22" s="2" t="s">
        <v>33</v>
      </c>
      <c r="D22" s="2" t="s">
        <v>25</v>
      </c>
      <c r="E22" s="2">
        <v>410600</v>
      </c>
    </row>
    <row r="23" spans="1:5" ht="15" customHeight="1" x14ac:dyDescent="0.2">
      <c r="A23" s="2" t="s">
        <v>6</v>
      </c>
      <c r="B23" s="2" t="s">
        <v>50</v>
      </c>
      <c r="C23" s="2" t="s">
        <v>33</v>
      </c>
      <c r="D23" s="2" t="s">
        <v>25</v>
      </c>
      <c r="E23" s="2">
        <v>975200</v>
      </c>
    </row>
    <row r="24" spans="1:5" ht="15" customHeight="1" x14ac:dyDescent="0.2">
      <c r="A24" s="2" t="s">
        <v>6</v>
      </c>
      <c r="B24" s="2" t="s">
        <v>51</v>
      </c>
      <c r="C24" s="2" t="s">
        <v>33</v>
      </c>
      <c r="D24" s="2" t="s">
        <v>25</v>
      </c>
      <c r="E24" s="2">
        <v>2151000</v>
      </c>
    </row>
    <row r="25" spans="1:5" ht="15" customHeight="1" x14ac:dyDescent="0.2">
      <c r="A25" s="2" t="s">
        <v>6</v>
      </c>
      <c r="B25" s="2" t="s">
        <v>52</v>
      </c>
      <c r="C25" s="2" t="s">
        <v>33</v>
      </c>
      <c r="D25" s="2" t="s">
        <v>25</v>
      </c>
      <c r="E25" s="2">
        <v>4655000</v>
      </c>
    </row>
    <row r="26" spans="1:5" ht="15" customHeight="1" x14ac:dyDescent="0.2">
      <c r="A26" s="2" t="s">
        <v>6</v>
      </c>
      <c r="B26" s="2" t="s">
        <v>53</v>
      </c>
      <c r="C26" s="2" t="s">
        <v>33</v>
      </c>
      <c r="D26" s="2" t="s">
        <v>25</v>
      </c>
      <c r="E26" s="2">
        <v>1825000</v>
      </c>
    </row>
    <row r="27" spans="1:5" ht="15" customHeight="1" x14ac:dyDescent="0.2">
      <c r="A27" s="2" t="s">
        <v>6</v>
      </c>
      <c r="B27" s="2" t="s">
        <v>54</v>
      </c>
      <c r="C27" s="2" t="s">
        <v>33</v>
      </c>
      <c r="D27" s="2" t="s">
        <v>25</v>
      </c>
      <c r="E27" s="2">
        <v>7100000</v>
      </c>
    </row>
    <row r="28" spans="1:5" ht="15" customHeight="1" x14ac:dyDescent="0.2">
      <c r="A28" s="2" t="s">
        <v>6</v>
      </c>
      <c r="B28" s="2" t="s">
        <v>55</v>
      </c>
      <c r="C28" s="2" t="s">
        <v>33</v>
      </c>
      <c r="D28" s="2" t="s">
        <v>25</v>
      </c>
      <c r="E28" s="2">
        <v>7041000</v>
      </c>
    </row>
    <row r="29" spans="1:5" ht="15" customHeight="1" x14ac:dyDescent="0.2">
      <c r="A29" s="2" t="s">
        <v>6</v>
      </c>
      <c r="B29" s="2" t="s">
        <v>56</v>
      </c>
      <c r="C29" s="2" t="s">
        <v>33</v>
      </c>
      <c r="D29" s="2" t="s">
        <v>25</v>
      </c>
      <c r="E29" s="2">
        <v>244000</v>
      </c>
    </row>
    <row r="30" spans="1:5" ht="15" customHeight="1" x14ac:dyDescent="0.2">
      <c r="A30" s="2" t="s">
        <v>6</v>
      </c>
      <c r="B30" s="2" t="s">
        <v>57</v>
      </c>
      <c r="C30" s="2" t="s">
        <v>33</v>
      </c>
      <c r="D30" s="2" t="s">
        <v>25</v>
      </c>
      <c r="E30" s="2">
        <v>649300</v>
      </c>
    </row>
    <row r="31" spans="1:5" ht="15" customHeight="1" x14ac:dyDescent="0.2">
      <c r="A31" s="2" t="s">
        <v>6</v>
      </c>
      <c r="B31" s="2" t="s">
        <v>58</v>
      </c>
      <c r="C31" s="2" t="s">
        <v>33</v>
      </c>
      <c r="D31" s="2" t="s">
        <v>25</v>
      </c>
      <c r="E31" s="2">
        <v>1616000</v>
      </c>
    </row>
    <row r="32" spans="1:5" ht="15" customHeight="1" x14ac:dyDescent="0.2">
      <c r="A32" s="2" t="s">
        <v>6</v>
      </c>
      <c r="B32" s="2" t="s">
        <v>59</v>
      </c>
      <c r="C32" s="2" t="s">
        <v>33</v>
      </c>
      <c r="D32" s="2" t="s">
        <v>25</v>
      </c>
      <c r="E32" s="2">
        <v>3812000</v>
      </c>
    </row>
    <row r="33" spans="1:5" ht="15" customHeight="1" x14ac:dyDescent="0.2">
      <c r="A33" s="2" t="s">
        <v>6</v>
      </c>
      <c r="B33" s="2" t="s">
        <v>60</v>
      </c>
      <c r="C33" s="2" t="s">
        <v>33</v>
      </c>
      <c r="D33" s="2" t="s">
        <v>25</v>
      </c>
      <c r="E33" s="2">
        <v>1337000</v>
      </c>
    </row>
    <row r="34" spans="1:5" ht="15" customHeight="1" x14ac:dyDescent="0.2">
      <c r="A34" s="2" t="s">
        <v>6</v>
      </c>
      <c r="B34" s="2" t="s">
        <v>61</v>
      </c>
      <c r="C34" s="2" t="s">
        <v>33</v>
      </c>
      <c r="D34" s="2" t="s">
        <v>25</v>
      </c>
      <c r="E34" s="2">
        <v>7360000</v>
      </c>
    </row>
    <row r="35" spans="1:5" ht="15" customHeight="1" x14ac:dyDescent="0.2">
      <c r="A35" s="2" t="s">
        <v>6</v>
      </c>
      <c r="B35" s="2" t="s">
        <v>62</v>
      </c>
      <c r="C35" s="2" t="s">
        <v>33</v>
      </c>
      <c r="D35" s="2" t="s">
        <v>25</v>
      </c>
      <c r="E35" s="2">
        <v>7630000</v>
      </c>
    </row>
    <row r="36" spans="1:5" ht="15" customHeight="1" x14ac:dyDescent="0.2">
      <c r="A36" s="2" t="s">
        <v>6</v>
      </c>
      <c r="B36" s="2" t="s">
        <v>63</v>
      </c>
      <c r="C36" s="2" t="s">
        <v>33</v>
      </c>
      <c r="D36" s="2" t="s">
        <v>25</v>
      </c>
      <c r="E36" s="2">
        <v>64140</v>
      </c>
    </row>
    <row r="37" spans="1:5" ht="15" customHeight="1" x14ac:dyDescent="0.2">
      <c r="A37" s="2" t="s">
        <v>6</v>
      </c>
      <c r="B37" s="2" t="s">
        <v>64</v>
      </c>
      <c r="C37" s="2" t="s">
        <v>33</v>
      </c>
      <c r="D37" s="2" t="s">
        <v>25</v>
      </c>
      <c r="E37" s="2">
        <v>5546</v>
      </c>
    </row>
    <row r="38" spans="1:5" ht="15" customHeight="1" x14ac:dyDescent="0.2">
      <c r="A38" s="2" t="s">
        <v>6</v>
      </c>
      <c r="B38" s="2" t="s">
        <v>65</v>
      </c>
      <c r="C38" s="2" t="s">
        <v>33</v>
      </c>
      <c r="D38" s="2" t="s">
        <v>25</v>
      </c>
      <c r="E38" s="2">
        <v>424700</v>
      </c>
    </row>
    <row r="39" spans="1:5" ht="15" customHeight="1" x14ac:dyDescent="0.2">
      <c r="A39" s="2" t="s">
        <v>6</v>
      </c>
      <c r="B39" s="2" t="s">
        <v>66</v>
      </c>
      <c r="C39" s="2" t="s">
        <v>33</v>
      </c>
      <c r="D39" s="2" t="s">
        <v>25</v>
      </c>
      <c r="E39" s="2">
        <v>1048000</v>
      </c>
    </row>
    <row r="40" spans="1:5" ht="15" customHeight="1" x14ac:dyDescent="0.2">
      <c r="A40" s="2" t="s">
        <v>6</v>
      </c>
      <c r="B40" s="2" t="s">
        <v>67</v>
      </c>
      <c r="C40" s="2" t="s">
        <v>33</v>
      </c>
      <c r="D40" s="2" t="s">
        <v>25</v>
      </c>
      <c r="E40" s="2">
        <v>2255000</v>
      </c>
    </row>
    <row r="41" spans="1:5" ht="15" customHeight="1" x14ac:dyDescent="0.2">
      <c r="A41" s="2" t="s">
        <v>6</v>
      </c>
      <c r="B41" s="2" t="s">
        <v>68</v>
      </c>
      <c r="C41" s="2" t="s">
        <v>33</v>
      </c>
      <c r="D41" s="2" t="s">
        <v>25</v>
      </c>
      <c r="E41" s="2">
        <v>4679000</v>
      </c>
    </row>
    <row r="42" spans="1:5" ht="12.75" x14ac:dyDescent="0.2">
      <c r="A42" s="2" t="s">
        <v>6</v>
      </c>
      <c r="B42" s="2" t="s">
        <v>69</v>
      </c>
      <c r="C42" s="2" t="s">
        <v>33</v>
      </c>
      <c r="D42" s="2" t="s">
        <v>25</v>
      </c>
      <c r="E42" s="2">
        <v>1819000</v>
      </c>
    </row>
    <row r="43" spans="1:5" ht="12.75" x14ac:dyDescent="0.2">
      <c r="A43" s="2" t="s">
        <v>6</v>
      </c>
      <c r="B43" s="2" t="s">
        <v>70</v>
      </c>
      <c r="C43" s="2" t="s">
        <v>33</v>
      </c>
      <c r="D43" s="2" t="s">
        <v>25</v>
      </c>
      <c r="E43" s="2">
        <v>7161000</v>
      </c>
    </row>
    <row r="44" spans="1:5" ht="12.75" x14ac:dyDescent="0.2">
      <c r="A44" s="2" t="s">
        <v>6</v>
      </c>
      <c r="B44" s="2" t="s">
        <v>71</v>
      </c>
      <c r="C44" s="2" t="s">
        <v>33</v>
      </c>
      <c r="D44" s="2" t="s">
        <v>25</v>
      </c>
      <c r="E44" s="2">
        <v>7032000</v>
      </c>
    </row>
    <row r="45" spans="1:5" ht="12.75" x14ac:dyDescent="0.2">
      <c r="A45" s="2" t="s">
        <v>6</v>
      </c>
      <c r="B45" s="2" t="s">
        <v>72</v>
      </c>
      <c r="C45" s="2" t="s">
        <v>33</v>
      </c>
      <c r="D45" s="2" t="s">
        <v>25</v>
      </c>
      <c r="E45" s="2">
        <v>248600</v>
      </c>
    </row>
    <row r="46" spans="1:5" ht="12.75" x14ac:dyDescent="0.2">
      <c r="A46" s="2" t="s">
        <v>6</v>
      </c>
      <c r="B46" s="2" t="s">
        <v>73</v>
      </c>
      <c r="C46" s="2" t="s">
        <v>33</v>
      </c>
      <c r="D46" s="2" t="s">
        <v>25</v>
      </c>
      <c r="E46" s="2">
        <v>636600</v>
      </c>
    </row>
    <row r="47" spans="1:5" ht="12.75" x14ac:dyDescent="0.2">
      <c r="A47" s="2" t="s">
        <v>6</v>
      </c>
      <c r="B47" s="2" t="s">
        <v>74</v>
      </c>
      <c r="C47" s="2" t="s">
        <v>33</v>
      </c>
      <c r="D47" s="2" t="s">
        <v>25</v>
      </c>
      <c r="E47" s="2">
        <v>1554000</v>
      </c>
    </row>
    <row r="48" spans="1:5" ht="12.75" x14ac:dyDescent="0.2">
      <c r="A48" s="2" t="s">
        <v>6</v>
      </c>
      <c r="B48" s="2" t="s">
        <v>75</v>
      </c>
      <c r="C48" s="2" t="s">
        <v>33</v>
      </c>
      <c r="D48" s="2" t="s">
        <v>25</v>
      </c>
      <c r="E48" s="2">
        <v>3647000</v>
      </c>
    </row>
    <row r="49" spans="1:5" ht="12.75" x14ac:dyDescent="0.2">
      <c r="A49" s="2" t="s">
        <v>6</v>
      </c>
      <c r="B49" s="2" t="s">
        <v>76</v>
      </c>
      <c r="C49" s="2" t="s">
        <v>33</v>
      </c>
      <c r="D49" s="2" t="s">
        <v>25</v>
      </c>
      <c r="E49" s="2">
        <v>1254000</v>
      </c>
    </row>
    <row r="50" spans="1:5" ht="12.75" x14ac:dyDescent="0.2">
      <c r="A50" s="2" t="s">
        <v>6</v>
      </c>
      <c r="B50" s="2" t="s">
        <v>77</v>
      </c>
      <c r="C50" s="2" t="s">
        <v>33</v>
      </c>
      <c r="D50" s="2" t="s">
        <v>25</v>
      </c>
      <c r="E50" s="2">
        <v>7279000</v>
      </c>
    </row>
    <row r="51" spans="1:5" ht="12.75" x14ac:dyDescent="0.2">
      <c r="A51" s="2" t="s">
        <v>6</v>
      </c>
      <c r="B51" s="2" t="s">
        <v>78</v>
      </c>
      <c r="C51" s="2" t="s">
        <v>33</v>
      </c>
      <c r="D51" s="2" t="s">
        <v>25</v>
      </c>
      <c r="E51" s="2">
        <v>7629000</v>
      </c>
    </row>
    <row r="52" spans="1:5" ht="12.75" x14ac:dyDescent="0.2">
      <c r="A52" s="2" t="s">
        <v>6</v>
      </c>
      <c r="B52" s="2" t="s">
        <v>79</v>
      </c>
      <c r="C52" s="2" t="s">
        <v>33</v>
      </c>
      <c r="D52" s="2" t="s">
        <v>25</v>
      </c>
      <c r="E52" s="2">
        <v>63630</v>
      </c>
    </row>
    <row r="53" spans="1:5" ht="12.75" x14ac:dyDescent="0.2">
      <c r="A53" s="2" t="s">
        <v>6</v>
      </c>
      <c r="B53" s="2" t="s">
        <v>80</v>
      </c>
      <c r="C53" s="2" t="s">
        <v>33</v>
      </c>
      <c r="D53" s="2" t="s">
        <v>25</v>
      </c>
      <c r="E53" s="2">
        <v>5326</v>
      </c>
    </row>
    <row r="54" spans="1:5" ht="12.75" x14ac:dyDescent="0.2">
      <c r="A54" s="2" t="s">
        <v>6</v>
      </c>
      <c r="B54" s="2" t="s">
        <v>81</v>
      </c>
      <c r="C54" s="2" t="s">
        <v>33</v>
      </c>
      <c r="D54" s="2" t="s">
        <v>25</v>
      </c>
      <c r="E54" s="2">
        <v>125500</v>
      </c>
    </row>
    <row r="55" spans="1:5" ht="12.75" x14ac:dyDescent="0.2">
      <c r="A55" s="2" t="s">
        <v>6</v>
      </c>
      <c r="B55" s="2" t="s">
        <v>82</v>
      </c>
      <c r="C55" s="2" t="s">
        <v>33</v>
      </c>
      <c r="D55" s="2" t="s">
        <v>25</v>
      </c>
      <c r="E55" s="2">
        <v>242400</v>
      </c>
    </row>
    <row r="56" spans="1:5" ht="12.75" x14ac:dyDescent="0.2">
      <c r="A56" s="2" t="s">
        <v>6</v>
      </c>
      <c r="B56" s="2" t="s">
        <v>83</v>
      </c>
      <c r="C56" s="2" t="s">
        <v>33</v>
      </c>
      <c r="D56" s="2" t="s">
        <v>25</v>
      </c>
      <c r="E56" s="2">
        <v>501700</v>
      </c>
    </row>
    <row r="57" spans="1:5" ht="12.75" x14ac:dyDescent="0.2">
      <c r="A57" s="2" t="s">
        <v>6</v>
      </c>
      <c r="B57" s="2" t="s">
        <v>84</v>
      </c>
      <c r="C57" s="2" t="s">
        <v>33</v>
      </c>
      <c r="D57" s="2" t="s">
        <v>25</v>
      </c>
      <c r="E57" s="2">
        <v>1257000</v>
      </c>
    </row>
    <row r="58" spans="1:5" ht="12.75" x14ac:dyDescent="0.2">
      <c r="A58" s="2" t="s">
        <v>6</v>
      </c>
      <c r="B58" s="2" t="s">
        <v>85</v>
      </c>
      <c r="C58" s="2" t="s">
        <v>33</v>
      </c>
      <c r="D58" s="2" t="s">
        <v>25</v>
      </c>
      <c r="E58" s="2">
        <v>765900</v>
      </c>
    </row>
    <row r="59" spans="1:5" ht="12.75" x14ac:dyDescent="0.2">
      <c r="A59" s="2" t="s">
        <v>6</v>
      </c>
      <c r="B59" s="2" t="s">
        <v>86</v>
      </c>
      <c r="C59" s="2" t="s">
        <v>33</v>
      </c>
      <c r="D59" s="2" t="s">
        <v>25</v>
      </c>
      <c r="E59" s="2">
        <v>6672000</v>
      </c>
    </row>
    <row r="60" spans="1:5" ht="12.75" x14ac:dyDescent="0.2">
      <c r="A60" s="2" t="s">
        <v>6</v>
      </c>
      <c r="B60" s="2" t="s">
        <v>87</v>
      </c>
      <c r="C60" s="2" t="s">
        <v>33</v>
      </c>
      <c r="D60" s="2" t="s">
        <v>25</v>
      </c>
      <c r="E60" s="2">
        <v>6812000</v>
      </c>
    </row>
    <row r="61" spans="1:5" ht="12.75" x14ac:dyDescent="0.2">
      <c r="A61" s="2" t="s">
        <v>6</v>
      </c>
      <c r="B61" s="2" t="s">
        <v>88</v>
      </c>
      <c r="C61" s="2" t="s">
        <v>33</v>
      </c>
      <c r="D61" s="2" t="s">
        <v>25</v>
      </c>
      <c r="E61" s="2">
        <v>109900</v>
      </c>
    </row>
    <row r="62" spans="1:5" ht="12.75" x14ac:dyDescent="0.2">
      <c r="A62" s="2" t="s">
        <v>6</v>
      </c>
      <c r="B62" s="2" t="s">
        <v>89</v>
      </c>
      <c r="C62" s="2" t="s">
        <v>33</v>
      </c>
      <c r="D62" s="2" t="s">
        <v>25</v>
      </c>
      <c r="E62" s="2">
        <v>105300</v>
      </c>
    </row>
    <row r="63" spans="1:5" ht="12.75" x14ac:dyDescent="0.2">
      <c r="A63" s="2" t="s">
        <v>6</v>
      </c>
      <c r="B63" s="2" t="s">
        <v>90</v>
      </c>
      <c r="C63" s="2" t="s">
        <v>33</v>
      </c>
      <c r="D63" s="2" t="s">
        <v>25</v>
      </c>
      <c r="E63" s="2">
        <v>183200</v>
      </c>
    </row>
    <row r="64" spans="1:5" ht="12.75" x14ac:dyDescent="0.2">
      <c r="A64" s="2" t="s">
        <v>6</v>
      </c>
      <c r="B64" s="2" t="s">
        <v>91</v>
      </c>
      <c r="C64" s="2" t="s">
        <v>33</v>
      </c>
      <c r="D64" s="2" t="s">
        <v>25</v>
      </c>
      <c r="E64" s="2">
        <v>520300</v>
      </c>
    </row>
    <row r="65" spans="1:5" ht="12.75" x14ac:dyDescent="0.2">
      <c r="A65" s="2" t="s">
        <v>6</v>
      </c>
      <c r="B65" s="2" t="s">
        <v>92</v>
      </c>
      <c r="C65" s="2" t="s">
        <v>33</v>
      </c>
      <c r="D65" s="2" t="s">
        <v>25</v>
      </c>
      <c r="E65" s="2">
        <v>306700</v>
      </c>
    </row>
    <row r="66" spans="1:5" ht="12.75" x14ac:dyDescent="0.2">
      <c r="A66" s="2" t="s">
        <v>6</v>
      </c>
      <c r="B66" s="2" t="s">
        <v>93</v>
      </c>
      <c r="C66" s="2" t="s">
        <v>33</v>
      </c>
      <c r="D66" s="2" t="s">
        <v>25</v>
      </c>
      <c r="E66" s="2">
        <v>6829000</v>
      </c>
    </row>
    <row r="67" spans="1:5" ht="12.75" x14ac:dyDescent="0.2">
      <c r="A67" s="2" t="s">
        <v>6</v>
      </c>
      <c r="B67" s="2" t="s">
        <v>94</v>
      </c>
      <c r="C67" s="2" t="s">
        <v>33</v>
      </c>
      <c r="D67" s="2" t="s">
        <v>25</v>
      </c>
      <c r="E67" s="2">
        <v>7499000</v>
      </c>
    </row>
    <row r="68" spans="1:5" ht="12.75" x14ac:dyDescent="0.2">
      <c r="A68" s="2" t="s">
        <v>6</v>
      </c>
      <c r="B68" s="2" t="s">
        <v>95</v>
      </c>
      <c r="C68" s="2" t="s">
        <v>33</v>
      </c>
      <c r="D68" s="2" t="s">
        <v>25</v>
      </c>
      <c r="E68" s="2">
        <v>62070</v>
      </c>
    </row>
    <row r="69" spans="1:5" ht="12.75" x14ac:dyDescent="0.2">
      <c r="A69" s="2" t="s">
        <v>6</v>
      </c>
      <c r="B69" s="2" t="s">
        <v>96</v>
      </c>
      <c r="C69" s="2" t="s">
        <v>33</v>
      </c>
      <c r="D69" s="2" t="s">
        <v>25</v>
      </c>
      <c r="E69" s="2">
        <v>6070</v>
      </c>
    </row>
    <row r="70" spans="1:5" ht="12.75" x14ac:dyDescent="0.2">
      <c r="A70" s="2" t="s">
        <v>6</v>
      </c>
      <c r="B70" s="2" t="s">
        <v>97</v>
      </c>
      <c r="C70" s="2" t="s">
        <v>33</v>
      </c>
      <c r="D70" s="2" t="s">
        <v>25</v>
      </c>
      <c r="E70" s="2">
        <v>118300</v>
      </c>
    </row>
    <row r="71" spans="1:5" ht="12.75" x14ac:dyDescent="0.2">
      <c r="A71" s="2" t="s">
        <v>6</v>
      </c>
      <c r="B71" s="2" t="s">
        <v>98</v>
      </c>
      <c r="C71" s="2" t="s">
        <v>33</v>
      </c>
      <c r="D71" s="2" t="s">
        <v>25</v>
      </c>
      <c r="E71" s="2">
        <v>233400</v>
      </c>
    </row>
    <row r="72" spans="1:5" ht="12.75" x14ac:dyDescent="0.2">
      <c r="A72" s="2" t="s">
        <v>6</v>
      </c>
      <c r="B72" s="2" t="s">
        <v>99</v>
      </c>
      <c r="C72" s="2" t="s">
        <v>33</v>
      </c>
      <c r="D72" s="2" t="s">
        <v>25</v>
      </c>
      <c r="E72" s="2">
        <v>459200</v>
      </c>
    </row>
    <row r="73" spans="1:5" ht="12.75" x14ac:dyDescent="0.2">
      <c r="A73" s="2" t="s">
        <v>6</v>
      </c>
      <c r="B73" s="2" t="s">
        <v>100</v>
      </c>
      <c r="C73" s="2" t="s">
        <v>33</v>
      </c>
      <c r="D73" s="2" t="s">
        <v>25</v>
      </c>
      <c r="E73" s="2">
        <v>1144000</v>
      </c>
    </row>
    <row r="74" spans="1:5" ht="12.75" x14ac:dyDescent="0.2">
      <c r="A74" s="2" t="s">
        <v>6</v>
      </c>
      <c r="B74" s="2" t="s">
        <v>101</v>
      </c>
      <c r="C74" s="2" t="s">
        <v>33</v>
      </c>
      <c r="D74" s="2" t="s">
        <v>25</v>
      </c>
      <c r="E74" s="2">
        <v>771600</v>
      </c>
    </row>
    <row r="75" spans="1:5" ht="12.75" x14ac:dyDescent="0.2">
      <c r="A75" s="2" t="s">
        <v>6</v>
      </c>
      <c r="B75" s="2" t="s">
        <v>102</v>
      </c>
      <c r="C75" s="2" t="s">
        <v>33</v>
      </c>
      <c r="D75" s="2" t="s">
        <v>25</v>
      </c>
      <c r="E75" s="2">
        <v>6643000</v>
      </c>
    </row>
    <row r="76" spans="1:5" ht="12.75" x14ac:dyDescent="0.2">
      <c r="A76" s="2" t="s">
        <v>6</v>
      </c>
      <c r="B76" s="2" t="s">
        <v>103</v>
      </c>
      <c r="C76" s="2" t="s">
        <v>33</v>
      </c>
      <c r="D76" s="2" t="s">
        <v>25</v>
      </c>
      <c r="E76" s="2">
        <v>6838000</v>
      </c>
    </row>
    <row r="77" spans="1:5" ht="12.75" x14ac:dyDescent="0.2">
      <c r="A77" s="2" t="s">
        <v>6</v>
      </c>
      <c r="B77" s="2" t="s">
        <v>104</v>
      </c>
      <c r="C77" s="2" t="s">
        <v>33</v>
      </c>
      <c r="D77" s="2" t="s">
        <v>25</v>
      </c>
      <c r="E77" s="2">
        <v>112300</v>
      </c>
    </row>
    <row r="78" spans="1:5" ht="12.75" x14ac:dyDescent="0.2">
      <c r="A78" s="2" t="s">
        <v>6</v>
      </c>
      <c r="B78" s="2" t="s">
        <v>105</v>
      </c>
      <c r="C78" s="2" t="s">
        <v>33</v>
      </c>
      <c r="D78" s="2" t="s">
        <v>25</v>
      </c>
      <c r="E78" s="2">
        <v>97720</v>
      </c>
    </row>
    <row r="79" spans="1:5" ht="12.75" x14ac:dyDescent="0.2">
      <c r="A79" s="2" t="s">
        <v>6</v>
      </c>
      <c r="B79" s="2" t="s">
        <v>106</v>
      </c>
      <c r="C79" s="2" t="s">
        <v>33</v>
      </c>
      <c r="D79" s="2" t="s">
        <v>25</v>
      </c>
      <c r="E79" s="2">
        <v>161600</v>
      </c>
    </row>
    <row r="80" spans="1:5" ht="12.75" x14ac:dyDescent="0.2">
      <c r="A80" s="2" t="s">
        <v>6</v>
      </c>
      <c r="B80" s="2" t="s">
        <v>107</v>
      </c>
      <c r="C80" s="2" t="s">
        <v>33</v>
      </c>
      <c r="D80" s="2" t="s">
        <v>25</v>
      </c>
      <c r="E80" s="2">
        <v>354100</v>
      </c>
    </row>
    <row r="81" spans="1:5" ht="12.75" x14ac:dyDescent="0.2">
      <c r="A81" s="2" t="s">
        <v>6</v>
      </c>
      <c r="B81" s="2" t="s">
        <v>108</v>
      </c>
      <c r="C81" s="2" t="s">
        <v>33</v>
      </c>
      <c r="D81" s="2" t="s">
        <v>25</v>
      </c>
      <c r="E81" s="2">
        <v>275500</v>
      </c>
    </row>
    <row r="82" spans="1:5" ht="12.75" x14ac:dyDescent="0.2">
      <c r="A82" s="2" t="s">
        <v>6</v>
      </c>
      <c r="B82" s="2" t="s">
        <v>109</v>
      </c>
      <c r="C82" s="2" t="s">
        <v>33</v>
      </c>
      <c r="D82" s="2" t="s">
        <v>25</v>
      </c>
      <c r="E82" s="2">
        <v>6909000</v>
      </c>
    </row>
    <row r="83" spans="1:5" ht="12.75" x14ac:dyDescent="0.2">
      <c r="A83" s="2" t="s">
        <v>6</v>
      </c>
      <c r="B83" s="2" t="s">
        <v>110</v>
      </c>
      <c r="C83" s="2" t="s">
        <v>33</v>
      </c>
      <c r="D83" s="2" t="s">
        <v>25</v>
      </c>
      <c r="E83" s="2">
        <v>7515000</v>
      </c>
    </row>
    <row r="84" spans="1:5" ht="12.75" x14ac:dyDescent="0.2">
      <c r="A84" s="2" t="s">
        <v>6</v>
      </c>
      <c r="B84" s="2" t="s">
        <v>111</v>
      </c>
      <c r="C84" s="2" t="s">
        <v>33</v>
      </c>
      <c r="D84" s="2" t="s">
        <v>25</v>
      </c>
      <c r="E84" s="2">
        <v>60500</v>
      </c>
    </row>
    <row r="85" spans="1:5" ht="12.75" x14ac:dyDescent="0.2">
      <c r="A85" s="2" t="s">
        <v>6</v>
      </c>
      <c r="B85" s="2" t="s">
        <v>112</v>
      </c>
      <c r="C85" s="2" t="s">
        <v>33</v>
      </c>
      <c r="D85" s="2" t="s">
        <v>25</v>
      </c>
      <c r="E85" s="2">
        <v>6215</v>
      </c>
    </row>
    <row r="86" spans="1:5" ht="12.75" x14ac:dyDescent="0.2">
      <c r="A86" s="2" t="s">
        <v>6</v>
      </c>
      <c r="B86" s="2" t="s">
        <v>113</v>
      </c>
      <c r="C86" s="2" t="s">
        <v>33</v>
      </c>
      <c r="D86" s="2" t="s">
        <v>25</v>
      </c>
      <c r="E86" s="2">
        <v>113900</v>
      </c>
    </row>
    <row r="87" spans="1:5" ht="12.75" x14ac:dyDescent="0.2">
      <c r="A87" s="2" t="s">
        <v>6</v>
      </c>
      <c r="B87" s="2" t="s">
        <v>114</v>
      </c>
      <c r="C87" s="2" t="s">
        <v>33</v>
      </c>
      <c r="D87" s="2" t="s">
        <v>25</v>
      </c>
      <c r="E87" s="2">
        <v>245400</v>
      </c>
    </row>
    <row r="88" spans="1:5" ht="12.75" x14ac:dyDescent="0.2">
      <c r="A88" s="2" t="s">
        <v>6</v>
      </c>
      <c r="B88" s="2" t="s">
        <v>115</v>
      </c>
      <c r="C88" s="2" t="s">
        <v>33</v>
      </c>
      <c r="D88" s="2" t="s">
        <v>25</v>
      </c>
      <c r="E88" s="2">
        <v>479100</v>
      </c>
    </row>
    <row r="89" spans="1:5" ht="12.75" x14ac:dyDescent="0.2">
      <c r="A89" s="2" t="s">
        <v>6</v>
      </c>
      <c r="B89" s="2" t="s">
        <v>116</v>
      </c>
      <c r="C89" s="2" t="s">
        <v>33</v>
      </c>
      <c r="D89" s="2" t="s">
        <v>25</v>
      </c>
      <c r="E89" s="2">
        <v>1143000</v>
      </c>
    </row>
    <row r="90" spans="1:5" ht="12.75" x14ac:dyDescent="0.2">
      <c r="A90" s="2" t="s">
        <v>6</v>
      </c>
      <c r="B90" s="2" t="s">
        <v>117</v>
      </c>
      <c r="C90" s="2" t="s">
        <v>33</v>
      </c>
      <c r="D90" s="2" t="s">
        <v>25</v>
      </c>
      <c r="E90" s="2">
        <v>767500</v>
      </c>
    </row>
    <row r="91" spans="1:5" ht="12.75" x14ac:dyDescent="0.2">
      <c r="A91" s="2" t="s">
        <v>6</v>
      </c>
      <c r="B91" s="2" t="s">
        <v>118</v>
      </c>
      <c r="C91" s="2" t="s">
        <v>33</v>
      </c>
      <c r="D91" s="2" t="s">
        <v>25</v>
      </c>
      <c r="E91" s="2">
        <v>6605000</v>
      </c>
    </row>
    <row r="92" spans="1:5" ht="12.75" x14ac:dyDescent="0.2">
      <c r="A92" s="2" t="s">
        <v>6</v>
      </c>
      <c r="B92" s="2" t="s">
        <v>119</v>
      </c>
      <c r="C92" s="2" t="s">
        <v>33</v>
      </c>
      <c r="D92" s="2" t="s">
        <v>25</v>
      </c>
      <c r="E92" s="2">
        <v>6941000</v>
      </c>
    </row>
    <row r="93" spans="1:5" ht="12.75" x14ac:dyDescent="0.2">
      <c r="A93" s="2" t="s">
        <v>6</v>
      </c>
      <c r="B93" s="2" t="s">
        <v>120</v>
      </c>
      <c r="C93" s="2" t="s">
        <v>33</v>
      </c>
      <c r="D93" s="2" t="s">
        <v>25</v>
      </c>
      <c r="E93" s="2">
        <v>111700</v>
      </c>
    </row>
    <row r="94" spans="1:5" ht="12.75" x14ac:dyDescent="0.2">
      <c r="A94" s="2" t="s">
        <v>6</v>
      </c>
      <c r="B94" s="2" t="s">
        <v>121</v>
      </c>
      <c r="C94" s="2" t="s">
        <v>33</v>
      </c>
      <c r="D94" s="2" t="s">
        <v>25</v>
      </c>
      <c r="E94" s="2">
        <v>105000</v>
      </c>
    </row>
    <row r="95" spans="1:5" ht="12.75" x14ac:dyDescent="0.2">
      <c r="A95" s="2" t="s">
        <v>6</v>
      </c>
      <c r="B95" s="2" t="s">
        <v>122</v>
      </c>
      <c r="C95" s="2" t="s">
        <v>33</v>
      </c>
      <c r="D95" s="2" t="s">
        <v>25</v>
      </c>
      <c r="E95" s="2">
        <v>150800</v>
      </c>
    </row>
    <row r="96" spans="1:5" ht="12.75" x14ac:dyDescent="0.2">
      <c r="A96" s="2" t="s">
        <v>6</v>
      </c>
      <c r="B96" s="2" t="s">
        <v>123</v>
      </c>
      <c r="C96" s="2" t="s">
        <v>33</v>
      </c>
      <c r="D96" s="2" t="s">
        <v>25</v>
      </c>
      <c r="E96" s="2">
        <v>391600</v>
      </c>
    </row>
    <row r="97" spans="1:5" ht="12.75" x14ac:dyDescent="0.2">
      <c r="A97" s="2" t="s">
        <v>6</v>
      </c>
      <c r="B97" s="2" t="s">
        <v>124</v>
      </c>
      <c r="C97" s="2" t="s">
        <v>33</v>
      </c>
      <c r="D97" s="2" t="s">
        <v>25</v>
      </c>
      <c r="E97" s="2">
        <v>312900</v>
      </c>
    </row>
    <row r="98" spans="1:5" ht="12.75" x14ac:dyDescent="0.2">
      <c r="A98" s="2" t="s">
        <v>6</v>
      </c>
      <c r="B98" s="2" t="s">
        <v>125</v>
      </c>
      <c r="C98" s="2" t="s">
        <v>33</v>
      </c>
      <c r="D98" s="2" t="s">
        <v>25</v>
      </c>
      <c r="E98" s="2">
        <v>6592000</v>
      </c>
    </row>
    <row r="99" spans="1:5" ht="12.75" x14ac:dyDescent="0.2">
      <c r="A99" s="2" t="s">
        <v>6</v>
      </c>
      <c r="B99" s="2" t="s">
        <v>126</v>
      </c>
      <c r="C99" s="2" t="s">
        <v>33</v>
      </c>
      <c r="D99" s="2" t="s">
        <v>25</v>
      </c>
      <c r="E99" s="2">
        <v>7483000</v>
      </c>
    </row>
    <row r="100" spans="1:5" ht="12.75" x14ac:dyDescent="0.2">
      <c r="A100" s="2" t="s">
        <v>6</v>
      </c>
      <c r="B100" s="2" t="s">
        <v>127</v>
      </c>
      <c r="C100" s="2" t="s">
        <v>33</v>
      </c>
      <c r="D100" s="2" t="s">
        <v>25</v>
      </c>
      <c r="E100" s="2">
        <v>59990</v>
      </c>
    </row>
    <row r="101" spans="1:5" ht="12.75" x14ac:dyDescent="0.2">
      <c r="A101" s="2" t="s">
        <v>6</v>
      </c>
      <c r="B101" s="2" t="s">
        <v>128</v>
      </c>
      <c r="C101" s="2" t="s">
        <v>33</v>
      </c>
      <c r="D101" s="2" t="s">
        <v>25</v>
      </c>
      <c r="E101" s="2">
        <v>5728</v>
      </c>
    </row>
    <row r="102" spans="1:5" ht="12.75" x14ac:dyDescent="0.2">
      <c r="A102" s="2" t="s">
        <v>6</v>
      </c>
      <c r="B102" s="2" t="s">
        <v>129</v>
      </c>
      <c r="C102" s="2" t="s">
        <v>33</v>
      </c>
      <c r="D102" s="2" t="s">
        <v>25</v>
      </c>
      <c r="E102" s="2">
        <v>48610</v>
      </c>
    </row>
    <row r="103" spans="1:5" ht="12.75" x14ac:dyDescent="0.2">
      <c r="A103" s="2" t="s">
        <v>6</v>
      </c>
      <c r="B103" s="2" t="s">
        <v>130</v>
      </c>
      <c r="C103" s="2" t="s">
        <v>33</v>
      </c>
      <c r="D103" s="2" t="s">
        <v>25</v>
      </c>
      <c r="E103" s="2">
        <v>52010</v>
      </c>
    </row>
    <row r="104" spans="1:5" ht="12.75" x14ac:dyDescent="0.2">
      <c r="A104" s="2" t="s">
        <v>6</v>
      </c>
      <c r="B104" s="2" t="s">
        <v>131</v>
      </c>
      <c r="C104" s="2" t="s">
        <v>33</v>
      </c>
      <c r="D104" s="2" t="s">
        <v>25</v>
      </c>
      <c r="E104" s="2">
        <v>63260</v>
      </c>
    </row>
    <row r="105" spans="1:5" ht="12.75" x14ac:dyDescent="0.2">
      <c r="A105" s="2" t="s">
        <v>6</v>
      </c>
      <c r="B105" s="2" t="s">
        <v>132</v>
      </c>
      <c r="C105" s="2" t="s">
        <v>33</v>
      </c>
      <c r="D105" s="2" t="s">
        <v>25</v>
      </c>
      <c r="E105" s="2">
        <v>81950</v>
      </c>
    </row>
    <row r="106" spans="1:5" ht="12.75" x14ac:dyDescent="0.2">
      <c r="A106" s="2" t="s">
        <v>6</v>
      </c>
      <c r="B106" s="2" t="s">
        <v>133</v>
      </c>
      <c r="C106" s="2" t="s">
        <v>33</v>
      </c>
      <c r="D106" s="2" t="s">
        <v>25</v>
      </c>
      <c r="E106" s="2">
        <v>130600</v>
      </c>
    </row>
    <row r="107" spans="1:5" ht="12.75" x14ac:dyDescent="0.2">
      <c r="A107" s="2" t="s">
        <v>6</v>
      </c>
      <c r="B107" s="2" t="s">
        <v>134</v>
      </c>
      <c r="C107" s="2" t="s">
        <v>33</v>
      </c>
      <c r="D107" s="2" t="s">
        <v>25</v>
      </c>
      <c r="E107" s="2">
        <v>5253000</v>
      </c>
    </row>
    <row r="108" spans="1:5" ht="12.75" x14ac:dyDescent="0.2">
      <c r="A108" s="2" t="s">
        <v>6</v>
      </c>
      <c r="B108" s="2" t="s">
        <v>135</v>
      </c>
      <c r="C108" s="2" t="s">
        <v>33</v>
      </c>
      <c r="D108" s="2" t="s">
        <v>25</v>
      </c>
      <c r="E108" s="2">
        <v>6887000</v>
      </c>
    </row>
    <row r="109" spans="1:5" ht="12.75" x14ac:dyDescent="0.2">
      <c r="A109" s="2" t="s">
        <v>6</v>
      </c>
      <c r="B109" s="2" t="s">
        <v>136</v>
      </c>
      <c r="C109" s="2" t="s">
        <v>33</v>
      </c>
      <c r="D109" s="2" t="s">
        <v>25</v>
      </c>
      <c r="E109" s="2">
        <v>81060</v>
      </c>
    </row>
    <row r="110" spans="1:5" ht="12.75" x14ac:dyDescent="0.2">
      <c r="A110" s="2" t="s">
        <v>6</v>
      </c>
      <c r="B110" s="2" t="s">
        <v>137</v>
      </c>
      <c r="C110" s="2" t="s">
        <v>33</v>
      </c>
      <c r="D110" s="2" t="s">
        <v>25</v>
      </c>
      <c r="E110" s="2">
        <v>32610</v>
      </c>
    </row>
    <row r="111" spans="1:5" ht="12.75" x14ac:dyDescent="0.2">
      <c r="A111" s="2" t="s">
        <v>6</v>
      </c>
      <c r="B111" s="2" t="s">
        <v>138</v>
      </c>
      <c r="C111" s="2" t="s">
        <v>33</v>
      </c>
      <c r="D111" s="2" t="s">
        <v>25</v>
      </c>
      <c r="E111" s="2">
        <v>27380</v>
      </c>
    </row>
    <row r="112" spans="1:5" ht="12.75" x14ac:dyDescent="0.2">
      <c r="A112" s="2" t="s">
        <v>6</v>
      </c>
      <c r="B112" s="2" t="s">
        <v>139</v>
      </c>
      <c r="C112" s="2" t="s">
        <v>33</v>
      </c>
      <c r="D112" s="2" t="s">
        <v>25</v>
      </c>
      <c r="E112" s="2">
        <v>39130</v>
      </c>
    </row>
    <row r="113" spans="1:5" ht="12.75" x14ac:dyDescent="0.2">
      <c r="A113" s="2" t="s">
        <v>6</v>
      </c>
      <c r="B113" s="2" t="s">
        <v>140</v>
      </c>
      <c r="C113" s="2" t="s">
        <v>33</v>
      </c>
      <c r="D113" s="2" t="s">
        <v>25</v>
      </c>
      <c r="E113" s="2">
        <v>73400</v>
      </c>
    </row>
    <row r="114" spans="1:5" ht="12.75" x14ac:dyDescent="0.2">
      <c r="A114" s="2" t="s">
        <v>6</v>
      </c>
      <c r="B114" s="2" t="s">
        <v>141</v>
      </c>
      <c r="C114" s="2" t="s">
        <v>33</v>
      </c>
      <c r="D114" s="2" t="s">
        <v>25</v>
      </c>
      <c r="E114" s="2">
        <v>4179000</v>
      </c>
    </row>
    <row r="115" spans="1:5" ht="12.75" x14ac:dyDescent="0.2">
      <c r="A115" s="2" t="s">
        <v>6</v>
      </c>
      <c r="B115" s="2" t="s">
        <v>142</v>
      </c>
      <c r="C115" s="2" t="s">
        <v>33</v>
      </c>
      <c r="D115" s="2" t="s">
        <v>25</v>
      </c>
      <c r="E115" s="2">
        <v>7446000</v>
      </c>
    </row>
    <row r="116" spans="1:5" ht="12.75" x14ac:dyDescent="0.2">
      <c r="A116" s="2" t="s">
        <v>6</v>
      </c>
      <c r="B116" s="2" t="s">
        <v>143</v>
      </c>
      <c r="C116" s="2" t="s">
        <v>33</v>
      </c>
      <c r="D116" s="2" t="s">
        <v>25</v>
      </c>
      <c r="E116" s="2">
        <v>58760</v>
      </c>
    </row>
    <row r="117" spans="1:5" ht="12.75" x14ac:dyDescent="0.2">
      <c r="A117" s="2" t="s">
        <v>6</v>
      </c>
      <c r="B117" s="2" t="s">
        <v>144</v>
      </c>
      <c r="C117" s="2" t="s">
        <v>33</v>
      </c>
      <c r="D117" s="2" t="s">
        <v>25</v>
      </c>
      <c r="E117" s="2">
        <v>6273</v>
      </c>
    </row>
    <row r="118" spans="1:5" ht="12.75" x14ac:dyDescent="0.2">
      <c r="A118" s="2" t="s">
        <v>6</v>
      </c>
      <c r="B118" s="2" t="s">
        <v>145</v>
      </c>
      <c r="C118" s="2" t="s">
        <v>33</v>
      </c>
      <c r="D118" s="2" t="s">
        <v>25</v>
      </c>
      <c r="E118" s="2">
        <v>47170</v>
      </c>
    </row>
    <row r="119" spans="1:5" ht="12.75" x14ac:dyDescent="0.2">
      <c r="A119" s="2" t="s">
        <v>6</v>
      </c>
      <c r="B119" s="2" t="s">
        <v>146</v>
      </c>
      <c r="C119" s="2" t="s">
        <v>33</v>
      </c>
      <c r="D119" s="2" t="s">
        <v>25</v>
      </c>
      <c r="E119" s="2">
        <v>51690</v>
      </c>
    </row>
    <row r="120" spans="1:5" ht="12.75" x14ac:dyDescent="0.2">
      <c r="A120" s="2" t="s">
        <v>6</v>
      </c>
      <c r="B120" s="2" t="s">
        <v>147</v>
      </c>
      <c r="C120" s="2" t="s">
        <v>33</v>
      </c>
      <c r="D120" s="2" t="s">
        <v>25</v>
      </c>
      <c r="E120" s="2">
        <v>56030</v>
      </c>
    </row>
    <row r="121" spans="1:5" ht="12.75" x14ac:dyDescent="0.2">
      <c r="A121" s="2" t="s">
        <v>6</v>
      </c>
      <c r="B121" s="2" t="s">
        <v>148</v>
      </c>
      <c r="C121" s="2" t="s">
        <v>33</v>
      </c>
      <c r="D121" s="2" t="s">
        <v>25</v>
      </c>
      <c r="E121" s="2">
        <v>71280</v>
      </c>
    </row>
    <row r="122" spans="1:5" ht="12.75" x14ac:dyDescent="0.2">
      <c r="A122" s="2" t="s">
        <v>6</v>
      </c>
      <c r="B122" s="2" t="s">
        <v>149</v>
      </c>
      <c r="C122" s="2" t="s">
        <v>33</v>
      </c>
      <c r="D122" s="2" t="s">
        <v>25</v>
      </c>
      <c r="E122" s="2">
        <v>112200</v>
      </c>
    </row>
    <row r="123" spans="1:5" ht="12.75" x14ac:dyDescent="0.2">
      <c r="A123" s="2" t="s">
        <v>6</v>
      </c>
      <c r="B123" s="2" t="s">
        <v>150</v>
      </c>
      <c r="C123" s="2" t="s">
        <v>33</v>
      </c>
      <c r="D123" s="2" t="s">
        <v>25</v>
      </c>
      <c r="E123" s="2">
        <v>5115000</v>
      </c>
    </row>
    <row r="124" spans="1:5" ht="12.75" x14ac:dyDescent="0.2">
      <c r="A124" s="2" t="s">
        <v>6</v>
      </c>
      <c r="B124" s="2" t="s">
        <v>151</v>
      </c>
      <c r="C124" s="2" t="s">
        <v>33</v>
      </c>
      <c r="D124" s="2" t="s">
        <v>25</v>
      </c>
      <c r="E124" s="2">
        <v>6586000</v>
      </c>
    </row>
    <row r="125" spans="1:5" ht="12.75" x14ac:dyDescent="0.2">
      <c r="A125" s="2" t="s">
        <v>6</v>
      </c>
      <c r="B125" s="2" t="s">
        <v>152</v>
      </c>
      <c r="C125" s="2" t="s">
        <v>33</v>
      </c>
      <c r="D125" s="2" t="s">
        <v>25</v>
      </c>
      <c r="E125" s="2">
        <v>79520</v>
      </c>
    </row>
    <row r="126" spans="1:5" ht="12.75" x14ac:dyDescent="0.2">
      <c r="A126" s="2" t="s">
        <v>6</v>
      </c>
      <c r="B126" s="2" t="s">
        <v>153</v>
      </c>
      <c r="C126" s="2" t="s">
        <v>33</v>
      </c>
      <c r="D126" s="2" t="s">
        <v>25</v>
      </c>
      <c r="E126" s="2">
        <v>30910</v>
      </c>
    </row>
    <row r="127" spans="1:5" ht="12.75" x14ac:dyDescent="0.2">
      <c r="A127" s="2" t="s">
        <v>6</v>
      </c>
      <c r="B127" s="2" t="s">
        <v>154</v>
      </c>
      <c r="C127" s="2" t="s">
        <v>33</v>
      </c>
      <c r="D127" s="2" t="s">
        <v>25</v>
      </c>
      <c r="E127" s="2">
        <v>24650</v>
      </c>
    </row>
    <row r="128" spans="1:5" ht="12.75" x14ac:dyDescent="0.2">
      <c r="A128" s="2" t="s">
        <v>6</v>
      </c>
      <c r="B128" s="2" t="s">
        <v>155</v>
      </c>
      <c r="C128" s="2" t="s">
        <v>33</v>
      </c>
      <c r="D128" s="2" t="s">
        <v>25</v>
      </c>
      <c r="E128" s="2">
        <v>30560</v>
      </c>
    </row>
    <row r="129" spans="1:5" ht="12.75" x14ac:dyDescent="0.2">
      <c r="A129" s="2" t="s">
        <v>6</v>
      </c>
      <c r="B129" s="2" t="s">
        <v>156</v>
      </c>
      <c r="C129" s="2" t="s">
        <v>33</v>
      </c>
      <c r="D129" s="2" t="s">
        <v>25</v>
      </c>
      <c r="E129" s="2">
        <v>65050</v>
      </c>
    </row>
    <row r="130" spans="1:5" ht="12.75" x14ac:dyDescent="0.2">
      <c r="A130" s="2" t="s">
        <v>6</v>
      </c>
      <c r="B130" s="2" t="s">
        <v>157</v>
      </c>
      <c r="C130" s="2" t="s">
        <v>33</v>
      </c>
      <c r="D130" s="2" t="s">
        <v>25</v>
      </c>
      <c r="E130" s="2">
        <v>4198000</v>
      </c>
    </row>
    <row r="131" spans="1:5" ht="12.75" x14ac:dyDescent="0.2">
      <c r="A131" s="2" t="s">
        <v>6</v>
      </c>
      <c r="B131" s="2" t="s">
        <v>158</v>
      </c>
      <c r="C131" s="2" t="s">
        <v>33</v>
      </c>
      <c r="D131" s="2" t="s">
        <v>25</v>
      </c>
      <c r="E131" s="2">
        <v>7424000</v>
      </c>
    </row>
    <row r="132" spans="1:5" ht="12.75" x14ac:dyDescent="0.2">
      <c r="A132" s="2" t="s">
        <v>6</v>
      </c>
      <c r="B132" s="2" t="s">
        <v>159</v>
      </c>
      <c r="C132" s="2" t="s">
        <v>33</v>
      </c>
      <c r="D132" s="2" t="s">
        <v>25</v>
      </c>
      <c r="E132" s="2">
        <v>57090</v>
      </c>
    </row>
    <row r="133" spans="1:5" ht="12.75" x14ac:dyDescent="0.2">
      <c r="A133" s="2" t="s">
        <v>6</v>
      </c>
      <c r="B133" s="2" t="s">
        <v>160</v>
      </c>
      <c r="C133" s="2" t="s">
        <v>33</v>
      </c>
      <c r="D133" s="2" t="s">
        <v>25</v>
      </c>
      <c r="E133" s="2">
        <v>7056</v>
      </c>
    </row>
    <row r="134" spans="1:5" ht="12.75" x14ac:dyDescent="0.2">
      <c r="A134" s="2" t="s">
        <v>6</v>
      </c>
      <c r="B134" s="2" t="s">
        <v>161</v>
      </c>
      <c r="C134" s="2" t="s">
        <v>33</v>
      </c>
      <c r="D134" s="2" t="s">
        <v>25</v>
      </c>
      <c r="E134" s="2">
        <v>47900</v>
      </c>
    </row>
    <row r="135" spans="1:5" ht="12.75" x14ac:dyDescent="0.2">
      <c r="A135" s="2" t="s">
        <v>6</v>
      </c>
      <c r="B135" s="2" t="s">
        <v>162</v>
      </c>
      <c r="C135" s="2" t="s">
        <v>33</v>
      </c>
      <c r="D135" s="2" t="s">
        <v>25</v>
      </c>
      <c r="E135" s="2">
        <v>63530</v>
      </c>
    </row>
    <row r="136" spans="1:5" ht="12.75" x14ac:dyDescent="0.2">
      <c r="A136" s="2" t="s">
        <v>6</v>
      </c>
      <c r="B136" s="2" t="s">
        <v>163</v>
      </c>
      <c r="C136" s="2" t="s">
        <v>33</v>
      </c>
      <c r="D136" s="2" t="s">
        <v>25</v>
      </c>
      <c r="E136" s="2">
        <v>87120</v>
      </c>
    </row>
    <row r="137" spans="1:5" ht="12.75" x14ac:dyDescent="0.2">
      <c r="A137" s="2" t="s">
        <v>6</v>
      </c>
      <c r="B137" s="2" t="s">
        <v>164</v>
      </c>
      <c r="C137" s="2" t="s">
        <v>33</v>
      </c>
      <c r="D137" s="2" t="s">
        <v>25</v>
      </c>
      <c r="E137" s="2">
        <v>135600</v>
      </c>
    </row>
    <row r="138" spans="1:5" ht="12.75" x14ac:dyDescent="0.2">
      <c r="A138" s="2" t="s">
        <v>6</v>
      </c>
      <c r="B138" s="2" t="s">
        <v>165</v>
      </c>
      <c r="C138" s="2" t="s">
        <v>33</v>
      </c>
      <c r="D138" s="2" t="s">
        <v>25</v>
      </c>
      <c r="E138" s="2">
        <v>137300</v>
      </c>
    </row>
    <row r="139" spans="1:5" ht="12.75" x14ac:dyDescent="0.2">
      <c r="A139" s="2" t="s">
        <v>6</v>
      </c>
      <c r="B139" s="2" t="s">
        <v>166</v>
      </c>
      <c r="C139" s="2" t="s">
        <v>33</v>
      </c>
      <c r="D139" s="2" t="s">
        <v>25</v>
      </c>
      <c r="E139" s="2">
        <v>5391000</v>
      </c>
    </row>
    <row r="140" spans="1:5" ht="12.75" x14ac:dyDescent="0.2">
      <c r="A140" s="2" t="s">
        <v>6</v>
      </c>
      <c r="B140" s="2" t="s">
        <v>167</v>
      </c>
      <c r="C140" s="2" t="s">
        <v>33</v>
      </c>
      <c r="D140" s="2" t="s">
        <v>25</v>
      </c>
      <c r="E140" s="2">
        <v>6958000</v>
      </c>
    </row>
    <row r="141" spans="1:5" ht="12.75" x14ac:dyDescent="0.2">
      <c r="A141" s="2" t="s">
        <v>6</v>
      </c>
      <c r="B141" s="2" t="s">
        <v>168</v>
      </c>
      <c r="C141" s="2" t="s">
        <v>33</v>
      </c>
      <c r="D141" s="2" t="s">
        <v>25</v>
      </c>
      <c r="E141" s="2">
        <v>80490</v>
      </c>
    </row>
    <row r="142" spans="1:5" ht="12.75" x14ac:dyDescent="0.2">
      <c r="A142" s="2" t="s">
        <v>6</v>
      </c>
      <c r="B142" s="2" t="s">
        <v>169</v>
      </c>
      <c r="C142" s="2" t="s">
        <v>33</v>
      </c>
      <c r="D142" s="2" t="s">
        <v>25</v>
      </c>
      <c r="E142" s="2">
        <v>31270</v>
      </c>
    </row>
    <row r="143" spans="1:5" ht="12.75" x14ac:dyDescent="0.2">
      <c r="A143" s="2" t="s">
        <v>6</v>
      </c>
      <c r="B143" s="2" t="s">
        <v>170</v>
      </c>
      <c r="C143" s="2" t="s">
        <v>33</v>
      </c>
      <c r="D143" s="2" t="s">
        <v>25</v>
      </c>
      <c r="E143" s="2">
        <v>25450</v>
      </c>
    </row>
    <row r="144" spans="1:5" ht="12.75" x14ac:dyDescent="0.2">
      <c r="A144" s="2" t="s">
        <v>6</v>
      </c>
      <c r="B144" s="2" t="s">
        <v>171</v>
      </c>
      <c r="C144" s="2" t="s">
        <v>33</v>
      </c>
      <c r="D144" s="2" t="s">
        <v>25</v>
      </c>
      <c r="E144" s="2">
        <v>27760</v>
      </c>
    </row>
    <row r="145" spans="1:5" ht="12.75" x14ac:dyDescent="0.2">
      <c r="A145" s="2" t="s">
        <v>6</v>
      </c>
      <c r="B145" s="2" t="s">
        <v>172</v>
      </c>
      <c r="C145" s="2" t="s">
        <v>33</v>
      </c>
      <c r="D145" s="2" t="s">
        <v>25</v>
      </c>
      <c r="E145" s="2">
        <v>58160</v>
      </c>
    </row>
    <row r="146" spans="1:5" ht="12.75" x14ac:dyDescent="0.2">
      <c r="A146" s="2" t="s">
        <v>6</v>
      </c>
      <c r="B146" s="2" t="s">
        <v>173</v>
      </c>
      <c r="C146" s="2" t="s">
        <v>33</v>
      </c>
      <c r="D146" s="2" t="s">
        <v>25</v>
      </c>
      <c r="E146" s="2">
        <v>3808000</v>
      </c>
    </row>
    <row r="147" spans="1:5" ht="12.75" x14ac:dyDescent="0.2">
      <c r="A147" s="2" t="s">
        <v>6</v>
      </c>
      <c r="B147" s="2" t="s">
        <v>174</v>
      </c>
      <c r="C147" s="2" t="s">
        <v>33</v>
      </c>
      <c r="D147" s="2" t="s">
        <v>25</v>
      </c>
      <c r="E147" s="2">
        <v>7466000</v>
      </c>
    </row>
    <row r="148" spans="1:5" ht="12.75" x14ac:dyDescent="0.2">
      <c r="A148" s="2" t="s">
        <v>6</v>
      </c>
      <c r="B148" s="2" t="s">
        <v>175</v>
      </c>
      <c r="C148" s="2" t="s">
        <v>33</v>
      </c>
      <c r="D148" s="2" t="s">
        <v>25</v>
      </c>
      <c r="E148" s="2">
        <v>106700</v>
      </c>
    </row>
    <row r="149" spans="1:5" ht="12.75" x14ac:dyDescent="0.2">
      <c r="A149" s="2" t="s">
        <v>6</v>
      </c>
      <c r="B149" s="2" t="s">
        <v>176</v>
      </c>
      <c r="C149" s="2" t="s">
        <v>33</v>
      </c>
      <c r="D149" s="2" t="s">
        <v>25</v>
      </c>
      <c r="E149" s="2">
        <v>10070</v>
      </c>
    </row>
    <row r="150" spans="1:5" ht="12.75" x14ac:dyDescent="0.2">
      <c r="A150" s="2" t="s">
        <v>6</v>
      </c>
      <c r="B150" s="2" t="s">
        <v>177</v>
      </c>
      <c r="C150" s="2" t="s">
        <v>33</v>
      </c>
      <c r="D150" s="2" t="s">
        <v>25</v>
      </c>
      <c r="E150" s="2">
        <v>104700</v>
      </c>
    </row>
    <row r="151" spans="1:5" ht="12.75" x14ac:dyDescent="0.2">
      <c r="A151" s="2" t="s">
        <v>6</v>
      </c>
      <c r="B151" s="2" t="s">
        <v>178</v>
      </c>
      <c r="C151" s="2" t="s">
        <v>33</v>
      </c>
      <c r="D151" s="2" t="s">
        <v>25</v>
      </c>
      <c r="E151" s="2">
        <v>1207000</v>
      </c>
    </row>
    <row r="152" spans="1:5" ht="12.75" x14ac:dyDescent="0.2">
      <c r="A152" s="2" t="s">
        <v>6</v>
      </c>
      <c r="B152" s="2" t="s">
        <v>179</v>
      </c>
      <c r="C152" s="2" t="s">
        <v>33</v>
      </c>
      <c r="D152" s="2" t="s">
        <v>25</v>
      </c>
      <c r="E152" s="2">
        <v>3024000</v>
      </c>
    </row>
    <row r="153" spans="1:5" ht="12.75" x14ac:dyDescent="0.2">
      <c r="A153" s="2" t="s">
        <v>6</v>
      </c>
      <c r="B153" s="2" t="s">
        <v>180</v>
      </c>
      <c r="C153" s="2" t="s">
        <v>33</v>
      </c>
      <c r="D153" s="2" t="s">
        <v>25</v>
      </c>
      <c r="E153" s="2">
        <v>5838000</v>
      </c>
    </row>
    <row r="154" spans="1:5" ht="12.75" x14ac:dyDescent="0.2">
      <c r="A154" s="2" t="s">
        <v>6</v>
      </c>
      <c r="B154" s="2" t="s">
        <v>181</v>
      </c>
      <c r="C154" s="2" t="s">
        <v>33</v>
      </c>
      <c r="D154" s="2" t="s">
        <v>25</v>
      </c>
      <c r="E154" s="2">
        <v>2000000</v>
      </c>
    </row>
    <row r="155" spans="1:5" ht="12.75" x14ac:dyDescent="0.2">
      <c r="A155" s="2" t="s">
        <v>6</v>
      </c>
      <c r="B155" s="2" t="s">
        <v>182</v>
      </c>
      <c r="C155" s="2" t="s">
        <v>33</v>
      </c>
      <c r="D155" s="2" t="s">
        <v>25</v>
      </c>
      <c r="E155" s="2">
        <v>7221000</v>
      </c>
    </row>
    <row r="156" spans="1:5" ht="12.75" x14ac:dyDescent="0.2">
      <c r="A156" s="2" t="s">
        <v>6</v>
      </c>
      <c r="B156" s="2" t="s">
        <v>183</v>
      </c>
      <c r="C156" s="2" t="s">
        <v>33</v>
      </c>
      <c r="D156" s="2" t="s">
        <v>25</v>
      </c>
      <c r="E156" s="2">
        <v>7105000</v>
      </c>
    </row>
    <row r="157" spans="1:5" ht="12.75" x14ac:dyDescent="0.2">
      <c r="A157" s="2" t="s">
        <v>6</v>
      </c>
      <c r="B157" s="2" t="s">
        <v>184</v>
      </c>
      <c r="C157" s="2" t="s">
        <v>33</v>
      </c>
      <c r="D157" s="2" t="s">
        <v>25</v>
      </c>
      <c r="E157" s="2">
        <v>75480</v>
      </c>
    </row>
    <row r="158" spans="1:5" ht="12.75" x14ac:dyDescent="0.2">
      <c r="A158" s="2" t="s">
        <v>6</v>
      </c>
      <c r="B158" s="2" t="s">
        <v>185</v>
      </c>
      <c r="C158" s="2" t="s">
        <v>33</v>
      </c>
      <c r="D158" s="2" t="s">
        <v>25</v>
      </c>
      <c r="E158" s="2">
        <v>20320</v>
      </c>
    </row>
    <row r="159" spans="1:5" ht="12.75" x14ac:dyDescent="0.2">
      <c r="A159" s="2" t="s">
        <v>6</v>
      </c>
      <c r="B159" s="2" t="s">
        <v>186</v>
      </c>
      <c r="C159" s="2" t="s">
        <v>33</v>
      </c>
      <c r="D159" s="2" t="s">
        <v>25</v>
      </c>
      <c r="E159" s="2">
        <v>18010</v>
      </c>
    </row>
    <row r="160" spans="1:5" ht="12.75" x14ac:dyDescent="0.2">
      <c r="A160" s="2" t="s">
        <v>6</v>
      </c>
      <c r="B160" s="2" t="s">
        <v>187</v>
      </c>
      <c r="C160" s="2" t="s">
        <v>33</v>
      </c>
      <c r="D160" s="2" t="s">
        <v>25</v>
      </c>
      <c r="E160" s="2">
        <v>28370</v>
      </c>
    </row>
    <row r="161" spans="1:5" ht="12.75" x14ac:dyDescent="0.2">
      <c r="A161" s="2" t="s">
        <v>6</v>
      </c>
      <c r="B161" s="2" t="s">
        <v>188</v>
      </c>
      <c r="C161" s="2" t="s">
        <v>33</v>
      </c>
      <c r="D161" s="2" t="s">
        <v>25</v>
      </c>
      <c r="E161" s="2">
        <v>82620</v>
      </c>
    </row>
    <row r="162" spans="1:5" ht="12.75" x14ac:dyDescent="0.2">
      <c r="A162" s="2" t="s">
        <v>6</v>
      </c>
      <c r="B162" s="2" t="s">
        <v>189</v>
      </c>
      <c r="C162" s="2" t="s">
        <v>33</v>
      </c>
      <c r="D162" s="2" t="s">
        <v>25</v>
      </c>
      <c r="E162" s="2">
        <v>415800</v>
      </c>
    </row>
    <row r="163" spans="1:5" ht="12.75" x14ac:dyDescent="0.2">
      <c r="A163" s="2" t="s">
        <v>6</v>
      </c>
      <c r="B163" s="2" t="s">
        <v>190</v>
      </c>
      <c r="C163" s="2" t="s">
        <v>33</v>
      </c>
      <c r="D163" s="2" t="s">
        <v>25</v>
      </c>
      <c r="E163" s="2">
        <v>1841000</v>
      </c>
    </row>
    <row r="164" spans="1:5" ht="12.75" x14ac:dyDescent="0.2">
      <c r="A164" s="2" t="s">
        <v>6</v>
      </c>
      <c r="B164" s="2" t="s">
        <v>191</v>
      </c>
      <c r="C164" s="2" t="s">
        <v>33</v>
      </c>
      <c r="D164" s="2" t="s">
        <v>25</v>
      </c>
      <c r="E164" s="2">
        <v>7843000</v>
      </c>
    </row>
    <row r="165" spans="1:5" ht="12.75" x14ac:dyDescent="0.2">
      <c r="A165" s="2" t="s">
        <v>6</v>
      </c>
      <c r="B165" s="2" t="s">
        <v>192</v>
      </c>
      <c r="C165" s="2" t="s">
        <v>33</v>
      </c>
      <c r="D165" s="2" t="s">
        <v>25</v>
      </c>
      <c r="E165" s="2">
        <v>58050</v>
      </c>
    </row>
    <row r="166" spans="1:5" ht="12.75" x14ac:dyDescent="0.2">
      <c r="A166" s="2" t="s">
        <v>6</v>
      </c>
      <c r="B166" s="2" t="s">
        <v>193</v>
      </c>
      <c r="C166" s="2" t="s">
        <v>33</v>
      </c>
      <c r="D166" s="2" t="s">
        <v>25</v>
      </c>
      <c r="E166" s="2">
        <v>108300</v>
      </c>
    </row>
    <row r="167" spans="1:5" ht="12.75" x14ac:dyDescent="0.2">
      <c r="A167" s="2" t="s">
        <v>6</v>
      </c>
      <c r="B167" s="2" t="s">
        <v>194</v>
      </c>
      <c r="C167" s="2" t="s">
        <v>33</v>
      </c>
      <c r="D167" s="2" t="s">
        <v>25</v>
      </c>
      <c r="E167" s="2">
        <v>1241000</v>
      </c>
    </row>
    <row r="168" spans="1:5" ht="12.75" x14ac:dyDescent="0.2">
      <c r="A168" s="2" t="s">
        <v>6</v>
      </c>
      <c r="B168" s="2" t="s">
        <v>195</v>
      </c>
      <c r="C168" s="2" t="s">
        <v>33</v>
      </c>
      <c r="D168" s="2" t="s">
        <v>25</v>
      </c>
      <c r="E168" s="2">
        <v>3300000</v>
      </c>
    </row>
    <row r="169" spans="1:5" ht="12.75" x14ac:dyDescent="0.2">
      <c r="A169" s="2" t="s">
        <v>6</v>
      </c>
      <c r="B169" s="2" t="s">
        <v>196</v>
      </c>
      <c r="C169" s="2" t="s">
        <v>33</v>
      </c>
      <c r="D169" s="2" t="s">
        <v>25</v>
      </c>
      <c r="E169" s="2">
        <v>5948000</v>
      </c>
    </row>
    <row r="170" spans="1:5" ht="12.75" x14ac:dyDescent="0.2">
      <c r="A170" s="2" t="s">
        <v>6</v>
      </c>
      <c r="B170" s="2" t="s">
        <v>197</v>
      </c>
      <c r="C170" s="2" t="s">
        <v>33</v>
      </c>
      <c r="D170" s="2" t="s">
        <v>25</v>
      </c>
      <c r="E170" s="2">
        <v>2091000</v>
      </c>
    </row>
    <row r="171" spans="1:5" ht="12.75" x14ac:dyDescent="0.2">
      <c r="A171" s="2" t="s">
        <v>6</v>
      </c>
      <c r="B171" s="2" t="s">
        <v>198</v>
      </c>
      <c r="C171" s="2" t="s">
        <v>33</v>
      </c>
      <c r="D171" s="2" t="s">
        <v>25</v>
      </c>
      <c r="E171" s="2">
        <v>7229000</v>
      </c>
    </row>
    <row r="172" spans="1:5" ht="12.75" x14ac:dyDescent="0.2">
      <c r="A172" s="2" t="s">
        <v>6</v>
      </c>
      <c r="B172" s="2" t="s">
        <v>199</v>
      </c>
      <c r="C172" s="2" t="s">
        <v>33</v>
      </c>
      <c r="D172" s="2" t="s">
        <v>25</v>
      </c>
      <c r="E172" s="2">
        <v>7132000</v>
      </c>
    </row>
    <row r="173" spans="1:5" ht="12.75" x14ac:dyDescent="0.2">
      <c r="A173" s="2" t="s">
        <v>6</v>
      </c>
      <c r="B173" s="2" t="s">
        <v>200</v>
      </c>
      <c r="C173" s="2" t="s">
        <v>33</v>
      </c>
      <c r="D173" s="2" t="s">
        <v>25</v>
      </c>
      <c r="E173" s="2">
        <v>72850</v>
      </c>
    </row>
    <row r="174" spans="1:5" ht="12.75" x14ac:dyDescent="0.2">
      <c r="A174" s="2" t="s">
        <v>6</v>
      </c>
      <c r="B174" s="2" t="s">
        <v>201</v>
      </c>
      <c r="C174" s="2" t="s">
        <v>33</v>
      </c>
      <c r="D174" s="2" t="s">
        <v>25</v>
      </c>
      <c r="E174" s="2">
        <v>18450</v>
      </c>
    </row>
    <row r="175" spans="1:5" ht="12.75" x14ac:dyDescent="0.2">
      <c r="A175" s="2" t="s">
        <v>6</v>
      </c>
      <c r="B175" s="2" t="s">
        <v>202</v>
      </c>
      <c r="C175" s="2" t="s">
        <v>33</v>
      </c>
      <c r="D175" s="2" t="s">
        <v>25</v>
      </c>
      <c r="E175" s="2">
        <v>17340</v>
      </c>
    </row>
    <row r="176" spans="1:5" ht="12.75" x14ac:dyDescent="0.2">
      <c r="A176" s="2" t="s">
        <v>6</v>
      </c>
      <c r="B176" s="2" t="s">
        <v>203</v>
      </c>
      <c r="C176" s="2" t="s">
        <v>33</v>
      </c>
      <c r="D176" s="2" t="s">
        <v>25</v>
      </c>
      <c r="E176" s="2">
        <v>27510</v>
      </c>
    </row>
    <row r="177" spans="1:5" ht="12.75" x14ac:dyDescent="0.2">
      <c r="A177" s="2" t="s">
        <v>6</v>
      </c>
      <c r="B177" s="2" t="s">
        <v>204</v>
      </c>
      <c r="C177" s="2" t="s">
        <v>33</v>
      </c>
      <c r="D177" s="2" t="s">
        <v>25</v>
      </c>
      <c r="E177" s="2">
        <v>80980</v>
      </c>
    </row>
    <row r="178" spans="1:5" ht="12.75" x14ac:dyDescent="0.2">
      <c r="A178" s="2" t="s">
        <v>6</v>
      </c>
      <c r="B178" s="2" t="s">
        <v>205</v>
      </c>
      <c r="C178" s="2" t="s">
        <v>33</v>
      </c>
      <c r="D178" s="2" t="s">
        <v>25</v>
      </c>
      <c r="E178" s="2">
        <v>355400</v>
      </c>
    </row>
    <row r="179" spans="1:5" ht="12.75" x14ac:dyDescent="0.2">
      <c r="A179" s="2" t="s">
        <v>6</v>
      </c>
      <c r="B179" s="2" t="s">
        <v>206</v>
      </c>
      <c r="C179" s="2" t="s">
        <v>33</v>
      </c>
      <c r="D179" s="2" t="s">
        <v>25</v>
      </c>
      <c r="E179" s="2">
        <v>1775000</v>
      </c>
    </row>
    <row r="180" spans="1:5" ht="12.75" x14ac:dyDescent="0.2">
      <c r="A180" s="2" t="s">
        <v>6</v>
      </c>
      <c r="B180" s="2" t="s">
        <v>207</v>
      </c>
      <c r="C180" s="2" t="s">
        <v>33</v>
      </c>
      <c r="D180" s="2" t="s">
        <v>25</v>
      </c>
      <c r="E180" s="2">
        <v>7836000</v>
      </c>
    </row>
    <row r="181" spans="1:5" ht="12.75" x14ac:dyDescent="0.2">
      <c r="A181" s="2" t="s">
        <v>6</v>
      </c>
      <c r="B181" s="2" t="s">
        <v>208</v>
      </c>
      <c r="C181" s="2" t="s">
        <v>33</v>
      </c>
      <c r="D181" s="2" t="s">
        <v>25</v>
      </c>
      <c r="E181" s="2">
        <v>60900</v>
      </c>
    </row>
    <row r="182" spans="1:5" ht="12.75" x14ac:dyDescent="0.2">
      <c r="A182" s="2" t="s">
        <v>6</v>
      </c>
      <c r="B182" s="2" t="s">
        <v>209</v>
      </c>
      <c r="C182" s="2" t="s">
        <v>33</v>
      </c>
      <c r="D182" s="2" t="s">
        <v>25</v>
      </c>
      <c r="E182" s="2">
        <v>105500</v>
      </c>
    </row>
    <row r="183" spans="1:5" ht="12.75" x14ac:dyDescent="0.2">
      <c r="A183" s="2" t="s">
        <v>6</v>
      </c>
      <c r="B183" s="2" t="s">
        <v>210</v>
      </c>
      <c r="C183" s="2" t="s">
        <v>33</v>
      </c>
      <c r="D183" s="2" t="s">
        <v>25</v>
      </c>
      <c r="E183" s="2">
        <v>1267000</v>
      </c>
    </row>
    <row r="184" spans="1:5" ht="12.75" x14ac:dyDescent="0.2">
      <c r="A184" s="2" t="s">
        <v>6</v>
      </c>
      <c r="B184" s="2" t="s">
        <v>211</v>
      </c>
      <c r="C184" s="2" t="s">
        <v>33</v>
      </c>
      <c r="D184" s="2" t="s">
        <v>25</v>
      </c>
      <c r="E184" s="2">
        <v>3270000</v>
      </c>
    </row>
    <row r="185" spans="1:5" ht="12.75" x14ac:dyDescent="0.2">
      <c r="A185" s="2" t="s">
        <v>6</v>
      </c>
      <c r="B185" s="2" t="s">
        <v>212</v>
      </c>
      <c r="C185" s="2" t="s">
        <v>33</v>
      </c>
      <c r="D185" s="2" t="s">
        <v>25</v>
      </c>
      <c r="E185" s="2">
        <v>5970000</v>
      </c>
    </row>
    <row r="186" spans="1:5" ht="12.75" x14ac:dyDescent="0.2">
      <c r="A186" s="2" t="s">
        <v>6</v>
      </c>
      <c r="B186" s="2" t="s">
        <v>213</v>
      </c>
      <c r="C186" s="2" t="s">
        <v>33</v>
      </c>
      <c r="D186" s="2" t="s">
        <v>25</v>
      </c>
      <c r="E186" s="2">
        <v>2183000</v>
      </c>
    </row>
    <row r="187" spans="1:5" ht="12.75" x14ac:dyDescent="0.2">
      <c r="A187" s="2" t="s">
        <v>6</v>
      </c>
      <c r="B187" s="2" t="s">
        <v>214</v>
      </c>
      <c r="C187" s="2" t="s">
        <v>33</v>
      </c>
      <c r="D187" s="2" t="s">
        <v>25</v>
      </c>
      <c r="E187" s="2">
        <v>7287000</v>
      </c>
    </row>
    <row r="188" spans="1:5" ht="12.75" x14ac:dyDescent="0.2">
      <c r="A188" s="2" t="s">
        <v>6</v>
      </c>
      <c r="B188" s="2" t="s">
        <v>215</v>
      </c>
      <c r="C188" s="2" t="s">
        <v>33</v>
      </c>
      <c r="D188" s="2" t="s">
        <v>25</v>
      </c>
      <c r="E188" s="2">
        <v>7134000</v>
      </c>
    </row>
    <row r="189" spans="1:5" ht="12.75" x14ac:dyDescent="0.2">
      <c r="A189" s="2" t="s">
        <v>6</v>
      </c>
      <c r="B189" s="2" t="s">
        <v>216</v>
      </c>
      <c r="C189" s="2" t="s">
        <v>33</v>
      </c>
      <c r="D189" s="2" t="s">
        <v>25</v>
      </c>
      <c r="E189" s="2">
        <v>79820</v>
      </c>
    </row>
    <row r="190" spans="1:5" ht="12.75" x14ac:dyDescent="0.2">
      <c r="A190" s="2" t="s">
        <v>6</v>
      </c>
      <c r="B190" s="2" t="s">
        <v>217</v>
      </c>
      <c r="C190" s="2" t="s">
        <v>33</v>
      </c>
      <c r="D190" s="2" t="s">
        <v>25</v>
      </c>
      <c r="E190" s="2">
        <v>17810</v>
      </c>
    </row>
    <row r="191" spans="1:5" ht="12.75" x14ac:dyDescent="0.2">
      <c r="A191" s="2" t="s">
        <v>6</v>
      </c>
      <c r="B191" s="2" t="s">
        <v>218</v>
      </c>
      <c r="C191" s="2" t="s">
        <v>33</v>
      </c>
      <c r="D191" s="2" t="s">
        <v>25</v>
      </c>
      <c r="E191" s="2">
        <v>21360</v>
      </c>
    </row>
    <row r="192" spans="1:5" ht="12.75" x14ac:dyDescent="0.2">
      <c r="A192" s="2" t="s">
        <v>6</v>
      </c>
      <c r="B192" s="2" t="s">
        <v>219</v>
      </c>
      <c r="C192" s="2" t="s">
        <v>33</v>
      </c>
      <c r="D192" s="2" t="s">
        <v>25</v>
      </c>
      <c r="E192" s="2">
        <v>26250</v>
      </c>
    </row>
    <row r="193" spans="1:5" ht="12.75" x14ac:dyDescent="0.2">
      <c r="A193" s="2" t="s">
        <v>6</v>
      </c>
      <c r="B193" s="2" t="s">
        <v>220</v>
      </c>
      <c r="C193" s="2" t="s">
        <v>33</v>
      </c>
      <c r="D193" s="2" t="s">
        <v>25</v>
      </c>
      <c r="E193" s="2">
        <v>79980</v>
      </c>
    </row>
    <row r="194" spans="1:5" ht="12.75" x14ac:dyDescent="0.2">
      <c r="A194" s="2" t="s">
        <v>6</v>
      </c>
      <c r="B194" s="2" t="s">
        <v>221</v>
      </c>
      <c r="C194" s="2" t="s">
        <v>33</v>
      </c>
      <c r="D194" s="2" t="s">
        <v>25</v>
      </c>
      <c r="E194" s="2">
        <v>355200</v>
      </c>
    </row>
    <row r="195" spans="1:5" ht="12.75" x14ac:dyDescent="0.2">
      <c r="A195" s="2" t="s">
        <v>6</v>
      </c>
      <c r="B195" s="2" t="s">
        <v>222</v>
      </c>
      <c r="C195" s="2" t="s">
        <v>33</v>
      </c>
      <c r="D195" s="2" t="s">
        <v>25</v>
      </c>
      <c r="E195" s="2">
        <v>1761000</v>
      </c>
    </row>
    <row r="196" spans="1:5" ht="12.75" x14ac:dyDescent="0.2">
      <c r="A196" s="2" t="s">
        <v>6</v>
      </c>
      <c r="B196" s="2" t="s">
        <v>223</v>
      </c>
      <c r="C196" s="2" t="s">
        <v>33</v>
      </c>
      <c r="D196" s="2" t="s">
        <v>25</v>
      </c>
      <c r="E196" s="2">
        <v>7961000</v>
      </c>
    </row>
    <row r="197" spans="1:5" ht="12.75" x14ac:dyDescent="0.2">
      <c r="A197" s="2" t="s">
        <v>6</v>
      </c>
      <c r="B197" s="2" t="s">
        <v>224</v>
      </c>
      <c r="C197" s="2" t="s">
        <v>33</v>
      </c>
      <c r="D197" s="2" t="s">
        <v>25</v>
      </c>
      <c r="E197" s="2">
        <v>55690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225</v>
      </c>
    </row>
    <row r="3" spans="1:5" ht="15" customHeight="1" x14ac:dyDescent="0.2">
      <c r="B3" t="s">
        <v>226</v>
      </c>
      <c r="E3" t="s">
        <v>227</v>
      </c>
    </row>
    <row r="4" spans="1:5" ht="15" customHeight="1" x14ac:dyDescent="0.2">
      <c r="B4" t="s">
        <v>228</v>
      </c>
      <c r="E4" t="s">
        <v>229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ession information"/>
  <dimension ref="A1:E8"/>
  <sheetViews>
    <sheetView workbookViewId="0"/>
  </sheetViews>
  <sheetFormatPr defaultColWidth="9.140625" defaultRowHeight="15" customHeight="1" x14ac:dyDescent="0.2"/>
  <cols>
    <col min="1" max="1" width="18.42578125" customWidth="1"/>
    <col min="2" max="2" width="15.85546875" customWidth="1"/>
    <col min="4" max="4" width="1.85546875" customWidth="1"/>
    <col min="5" max="5" width="48.140625" customWidth="1"/>
  </cols>
  <sheetData>
    <row r="1" spans="1:5" ht="15" customHeight="1" x14ac:dyDescent="0.2">
      <c r="A1" t="s">
        <v>230</v>
      </c>
    </row>
    <row r="3" spans="1:5" ht="15" customHeight="1" x14ac:dyDescent="0.2">
      <c r="B3" t="s">
        <v>231</v>
      </c>
      <c r="E3" t="s">
        <v>1</v>
      </c>
    </row>
    <row r="4" spans="1:5" ht="15" customHeight="1" x14ac:dyDescent="0.2">
      <c r="B4" t="s">
        <v>232</v>
      </c>
    </row>
    <row r="5" spans="1:5" ht="15" customHeight="1" x14ac:dyDescent="0.2">
      <c r="B5" t="s">
        <v>226</v>
      </c>
      <c r="E5" t="s">
        <v>233</v>
      </c>
    </row>
    <row r="6" spans="1:5" ht="15" customHeight="1" x14ac:dyDescent="0.2">
      <c r="B6" t="s">
        <v>234</v>
      </c>
      <c r="E6" t="s">
        <v>2</v>
      </c>
    </row>
    <row r="7" spans="1:5" ht="15" customHeight="1" x14ac:dyDescent="0.2">
      <c r="B7" t="s">
        <v>235</v>
      </c>
      <c r="E7" t="s">
        <v>236</v>
      </c>
    </row>
    <row r="8" spans="1:5" ht="15" customHeight="1" x14ac:dyDescent="0.2">
      <c r="A8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Instrument information"/>
  <dimension ref="A1:E18"/>
  <sheetViews>
    <sheetView workbookViewId="0"/>
  </sheetViews>
  <sheetFormatPr defaultColWidth="9.140625" defaultRowHeight="15" customHeight="1" x14ac:dyDescent="0.2"/>
  <cols>
    <col min="1" max="1" width="20.5703125" customWidth="1"/>
    <col min="2" max="2" width="18.42578125" customWidth="1"/>
    <col min="3" max="3" width="21.140625" customWidth="1"/>
    <col min="4" max="4" width="1.85546875" customWidth="1"/>
    <col min="5" max="5" width="31.85546875" customWidth="1"/>
  </cols>
  <sheetData>
    <row r="1" spans="1:5" ht="15" customHeight="1" x14ac:dyDescent="0.2">
      <c r="A1" t="s">
        <v>237</v>
      </c>
    </row>
    <row r="3" spans="1:5" ht="15" customHeight="1" x14ac:dyDescent="0.2">
      <c r="B3" t="s">
        <v>238</v>
      </c>
      <c r="E3" t="s">
        <v>239</v>
      </c>
    </row>
    <row r="4" spans="1:5" ht="15" customHeight="1" x14ac:dyDescent="0.2">
      <c r="B4" t="s">
        <v>240</v>
      </c>
      <c r="E4" t="s">
        <v>241</v>
      </c>
    </row>
    <row r="5" spans="1:5" ht="15" customHeight="1" x14ac:dyDescent="0.2">
      <c r="B5" t="s">
        <v>242</v>
      </c>
      <c r="E5" t="s">
        <v>243</v>
      </c>
    </row>
    <row r="7" spans="1:5" ht="15" customHeight="1" x14ac:dyDescent="0.2">
      <c r="B7" t="s">
        <v>244</v>
      </c>
    </row>
    <row r="9" spans="1:5" ht="15" customHeight="1" x14ac:dyDescent="0.2">
      <c r="C9" t="s">
        <v>245</v>
      </c>
      <c r="E9" t="s">
        <v>246</v>
      </c>
    </row>
    <row r="10" spans="1:5" ht="15" customHeight="1" x14ac:dyDescent="0.2">
      <c r="C10" t="s">
        <v>247</v>
      </c>
      <c r="E10" t="s">
        <v>248</v>
      </c>
    </row>
    <row r="11" spans="1:5" ht="15" customHeight="1" x14ac:dyDescent="0.2">
      <c r="C11" t="s">
        <v>249</v>
      </c>
      <c r="E11" t="s">
        <v>250</v>
      </c>
    </row>
    <row r="12" spans="1:5" ht="15" customHeight="1" x14ac:dyDescent="0.2">
      <c r="C12" t="s">
        <v>251</v>
      </c>
      <c r="E12" t="s">
        <v>252</v>
      </c>
    </row>
    <row r="14" spans="1:5" ht="15" customHeight="1" x14ac:dyDescent="0.2">
      <c r="C14" t="s">
        <v>253</v>
      </c>
      <c r="E14" t="s">
        <v>229</v>
      </c>
    </row>
    <row r="15" spans="1:5" ht="15" customHeight="1" x14ac:dyDescent="0.2">
      <c r="C15" t="s">
        <v>254</v>
      </c>
      <c r="E15" t="s">
        <v>255</v>
      </c>
    </row>
    <row r="16" spans="1:5" ht="15" customHeight="1" x14ac:dyDescent="0.2">
      <c r="C16" t="s">
        <v>256</v>
      </c>
      <c r="E16" t="s">
        <v>229</v>
      </c>
    </row>
    <row r="17" spans="3:5" ht="15" customHeight="1" x14ac:dyDescent="0.2">
      <c r="C17" t="s">
        <v>257</v>
      </c>
      <c r="E17" t="s">
        <v>229</v>
      </c>
    </row>
    <row r="18" spans="3:5" ht="15" customHeight="1" x14ac:dyDescent="0.2">
      <c r="C18" t="s">
        <v>258</v>
      </c>
      <c r="E18" t="s">
        <v>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rotocol parameters"/>
  <dimension ref="A1:E12"/>
  <sheetViews>
    <sheetView workbookViewId="0"/>
  </sheetViews>
  <sheetFormatPr defaultColWidth="9.140625" defaultRowHeight="15" customHeight="1" x14ac:dyDescent="0.2"/>
  <cols>
    <col min="1" max="1" width="18.7109375" customWidth="1"/>
    <col min="2" max="2" width="27.7109375" customWidth="1"/>
    <col min="4" max="4" width="1.85546875" customWidth="1"/>
    <col min="5" max="5" width="10.140625" customWidth="1"/>
  </cols>
  <sheetData>
    <row r="1" spans="1:5" ht="15" customHeight="1" x14ac:dyDescent="0.2">
      <c r="A1" t="s">
        <v>259</v>
      </c>
    </row>
    <row r="3" spans="1:5" ht="15" customHeight="1" x14ac:dyDescent="0.2">
      <c r="B3" t="s">
        <v>260</v>
      </c>
      <c r="E3" t="s">
        <v>261</v>
      </c>
    </row>
    <row r="4" spans="1:5" ht="15" customHeight="1" x14ac:dyDescent="0.2">
      <c r="B4" t="s">
        <v>262</v>
      </c>
      <c r="E4" t="s">
        <v>255</v>
      </c>
    </row>
    <row r="5" spans="1:5" ht="15" customHeight="1" x14ac:dyDescent="0.2">
      <c r="B5" t="s">
        <v>263</v>
      </c>
      <c r="E5" t="s">
        <v>255</v>
      </c>
    </row>
    <row r="7" spans="1:5" ht="15" customHeight="1" x14ac:dyDescent="0.2">
      <c r="A7" t="s">
        <v>4</v>
      </c>
    </row>
    <row r="9" spans="1:5" ht="15" customHeight="1" x14ac:dyDescent="0.2">
      <c r="B9" t="s">
        <v>264</v>
      </c>
      <c r="E9" t="s">
        <v>265</v>
      </c>
    </row>
    <row r="10" spans="1:5" ht="15" customHeight="1" x14ac:dyDescent="0.2">
      <c r="B10" t="s">
        <v>266</v>
      </c>
      <c r="E10" t="s">
        <v>255</v>
      </c>
    </row>
    <row r="11" spans="1:5" ht="15" customHeight="1" x14ac:dyDescent="0.2">
      <c r="B11" t="s">
        <v>267</v>
      </c>
      <c r="E11" t="s">
        <v>268</v>
      </c>
    </row>
    <row r="12" spans="1:5" ht="15" customHeight="1" x14ac:dyDescent="0.2">
      <c r="B12" t="s">
        <v>269</v>
      </c>
      <c r="E12" t="s">
        <v>270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42578125" customWidth="1"/>
    <col min="2" max="2" width="21.42578125" customWidth="1"/>
    <col min="3" max="3" width="57.7109375" customWidth="1"/>
    <col min="4" max="4" width="30.42578125" customWidth="1"/>
  </cols>
  <sheetData>
    <row r="1" spans="1:5" ht="15" customHeight="1" x14ac:dyDescent="0.2">
      <c r="A1" t="s">
        <v>271</v>
      </c>
    </row>
    <row r="3" spans="1:5" ht="15" customHeight="1" x14ac:dyDescent="0.2">
      <c r="B3" s="3" t="s">
        <v>272</v>
      </c>
      <c r="C3" s="3" t="s">
        <v>273</v>
      </c>
      <c r="D3" s="3" t="s">
        <v>274</v>
      </c>
      <c r="E3" s="3"/>
    </row>
    <row r="4" spans="1:5" ht="15" customHeight="1" x14ac:dyDescent="0.2">
      <c r="B4" t="s">
        <v>2</v>
      </c>
      <c r="C4" t="s">
        <v>275</v>
      </c>
      <c r="D4" t="s">
        <v>276</v>
      </c>
    </row>
    <row r="5" spans="1:5" ht="15" customHeight="1" x14ac:dyDescent="0.2">
      <c r="B5" t="s">
        <v>2</v>
      </c>
      <c r="C5" t="s">
        <v>277</v>
      </c>
    </row>
    <row r="6" spans="1:5" ht="15" customHeight="1" x14ac:dyDescent="0.2">
      <c r="B6" t="s">
        <v>278</v>
      </c>
      <c r="C6" t="s">
        <v>279</v>
      </c>
      <c r="D6" t="s">
        <v>280</v>
      </c>
    </row>
    <row r="7" spans="1:5" ht="15" customHeight="1" x14ac:dyDescent="0.2">
      <c r="B7" t="s">
        <v>281</v>
      </c>
      <c r="C7" t="s">
        <v>275</v>
      </c>
      <c r="D7" t="s">
        <v>276</v>
      </c>
    </row>
    <row r="8" spans="1:5" ht="15" customHeight="1" x14ac:dyDescent="0.2">
      <c r="B8" t="s">
        <v>282</v>
      </c>
      <c r="C8" t="s">
        <v>275</v>
      </c>
      <c r="D8" t="s">
        <v>276</v>
      </c>
    </row>
    <row r="9" spans="1:5" ht="15" customHeight="1" x14ac:dyDescent="0.2">
      <c r="B9" t="s">
        <v>283</v>
      </c>
      <c r="C9" t="s">
        <v>275</v>
      </c>
      <c r="D9" t="s">
        <v>276</v>
      </c>
    </row>
    <row r="10" spans="1:5" ht="15" customHeight="1" x14ac:dyDescent="0.2">
      <c r="B10" t="s">
        <v>284</v>
      </c>
      <c r="C10" t="s">
        <v>285</v>
      </c>
    </row>
    <row r="11" spans="1:5" ht="15" customHeight="1" x14ac:dyDescent="0.2">
      <c r="B11" t="s">
        <v>284</v>
      </c>
      <c r="C11" t="s">
        <v>275</v>
      </c>
      <c r="D11" t="s">
        <v>276</v>
      </c>
    </row>
    <row r="12" spans="1:5" ht="15" customHeight="1" x14ac:dyDescent="0.2">
      <c r="B12" t="s">
        <v>286</v>
      </c>
      <c r="C12" t="s">
        <v>287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ayout definitions"/>
  <dimension ref="A1:Y57"/>
  <sheetViews>
    <sheetView workbookViewId="0"/>
  </sheetViews>
  <sheetFormatPr defaultColWidth="9.140625" defaultRowHeight="15" customHeight="1" x14ac:dyDescent="0.2"/>
  <sheetData>
    <row r="1" spans="1:25" ht="15" customHeight="1" x14ac:dyDescent="0.2">
      <c r="A1" t="s">
        <v>238</v>
      </c>
      <c r="B1" t="s">
        <v>6</v>
      </c>
    </row>
    <row r="2" spans="1:25" ht="15" customHeight="1" x14ac:dyDescent="0.2">
      <c r="A2" t="s">
        <v>288</v>
      </c>
      <c r="B2" t="s">
        <v>289</v>
      </c>
    </row>
    <row r="4" spans="1:25" ht="15" customHeight="1" x14ac:dyDescent="0.2"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</row>
    <row r="5" spans="1:25" ht="15" customHeight="1" x14ac:dyDescent="0.2">
      <c r="A5" s="8" t="s">
        <v>8</v>
      </c>
      <c r="B5" s="5" t="s">
        <v>25</v>
      </c>
      <c r="C5" s="5" t="s">
        <v>25</v>
      </c>
      <c r="D5" s="5" t="s">
        <v>25</v>
      </c>
      <c r="E5" s="5" t="s">
        <v>25</v>
      </c>
      <c r="F5" s="5" t="s">
        <v>25</v>
      </c>
      <c r="G5" s="5" t="s">
        <v>25</v>
      </c>
      <c r="H5" s="5" t="s">
        <v>25</v>
      </c>
      <c r="I5" s="5" t="s">
        <v>25</v>
      </c>
      <c r="J5" s="5" t="s">
        <v>25</v>
      </c>
      <c r="K5" s="5" t="s">
        <v>25</v>
      </c>
      <c r="L5" s="5" t="s">
        <v>25</v>
      </c>
      <c r="M5" s="5" t="s">
        <v>25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5" customHeight="1" x14ac:dyDescent="0.2">
      <c r="A6" s="9"/>
      <c r="B6" s="6" t="s">
        <v>33</v>
      </c>
      <c r="C6" s="6" t="s">
        <v>33</v>
      </c>
      <c r="D6" s="6" t="s">
        <v>33</v>
      </c>
      <c r="E6" s="6" t="s">
        <v>33</v>
      </c>
      <c r="F6" s="6" t="s">
        <v>33</v>
      </c>
      <c r="G6" s="6" t="s">
        <v>33</v>
      </c>
      <c r="H6" s="6" t="s">
        <v>33</v>
      </c>
      <c r="I6" s="6" t="s">
        <v>33</v>
      </c>
      <c r="J6" s="6" t="s">
        <v>33</v>
      </c>
      <c r="K6" s="6" t="s">
        <v>33</v>
      </c>
      <c r="L6" s="6" t="s">
        <v>33</v>
      </c>
      <c r="M6" s="6" t="s">
        <v>33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5" customHeight="1" x14ac:dyDescent="0.2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5" customHeight="1" x14ac:dyDescent="0.2">
      <c r="A8" s="8" t="s">
        <v>9</v>
      </c>
      <c r="B8" s="5" t="s">
        <v>25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5" customHeight="1" x14ac:dyDescent="0.2">
      <c r="A9" s="9"/>
      <c r="B9" s="6" t="s">
        <v>33</v>
      </c>
      <c r="C9" s="6" t="s">
        <v>33</v>
      </c>
      <c r="D9" s="6" t="s">
        <v>33</v>
      </c>
      <c r="E9" s="6" t="s">
        <v>33</v>
      </c>
      <c r="F9" s="6" t="s">
        <v>33</v>
      </c>
      <c r="G9" s="6" t="s">
        <v>33</v>
      </c>
      <c r="H9" s="6" t="s">
        <v>33</v>
      </c>
      <c r="I9" s="6" t="s">
        <v>33</v>
      </c>
      <c r="J9" s="6" t="s">
        <v>33</v>
      </c>
      <c r="K9" s="6" t="s">
        <v>33</v>
      </c>
      <c r="L9" s="6" t="s">
        <v>33</v>
      </c>
      <c r="M9" s="6" t="s">
        <v>33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5" customHeight="1" x14ac:dyDescent="0.2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5" customHeight="1" x14ac:dyDescent="0.2">
      <c r="A11" s="8" t="s">
        <v>10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5" customHeight="1" x14ac:dyDescent="0.2">
      <c r="A12" s="9"/>
      <c r="B12" s="6" t="s">
        <v>33</v>
      </c>
      <c r="C12" s="6" t="s">
        <v>33</v>
      </c>
      <c r="D12" s="6" t="s">
        <v>33</v>
      </c>
      <c r="E12" s="6" t="s">
        <v>33</v>
      </c>
      <c r="F12" s="6" t="s">
        <v>33</v>
      </c>
      <c r="G12" s="6" t="s">
        <v>33</v>
      </c>
      <c r="H12" s="6" t="s">
        <v>33</v>
      </c>
      <c r="I12" s="6" t="s">
        <v>33</v>
      </c>
      <c r="J12" s="6" t="s">
        <v>33</v>
      </c>
      <c r="K12" s="6" t="s">
        <v>33</v>
      </c>
      <c r="L12" s="6" t="s">
        <v>33</v>
      </c>
      <c r="M12" s="6" t="s">
        <v>33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5" customHeight="1" x14ac:dyDescent="0.2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5" customHeight="1" x14ac:dyDescent="0.2">
      <c r="A14" s="8" t="s">
        <v>11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5" customHeight="1" x14ac:dyDescent="0.2">
      <c r="A15" s="9"/>
      <c r="B15" s="6" t="s">
        <v>33</v>
      </c>
      <c r="C15" s="6" t="s">
        <v>33</v>
      </c>
      <c r="D15" s="6" t="s">
        <v>33</v>
      </c>
      <c r="E15" s="6" t="s">
        <v>33</v>
      </c>
      <c r="F15" s="6" t="s">
        <v>33</v>
      </c>
      <c r="G15" s="6" t="s">
        <v>33</v>
      </c>
      <c r="H15" s="6" t="s">
        <v>33</v>
      </c>
      <c r="I15" s="6" t="s">
        <v>33</v>
      </c>
      <c r="J15" s="6" t="s">
        <v>33</v>
      </c>
      <c r="K15" s="6" t="s">
        <v>33</v>
      </c>
      <c r="L15" s="6" t="s">
        <v>33</v>
      </c>
      <c r="M15" s="6" t="s">
        <v>33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5" customHeight="1" x14ac:dyDescent="0.2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5" customHeight="1" x14ac:dyDescent="0.2">
      <c r="A17" s="8" t="s">
        <v>12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5" customHeight="1" x14ac:dyDescent="0.2">
      <c r="A18" s="9"/>
      <c r="B18" s="6" t="s">
        <v>33</v>
      </c>
      <c r="C18" s="6" t="s">
        <v>33</v>
      </c>
      <c r="D18" s="6" t="s">
        <v>33</v>
      </c>
      <c r="E18" s="6" t="s">
        <v>33</v>
      </c>
      <c r="F18" s="6" t="s">
        <v>33</v>
      </c>
      <c r="G18" s="6" t="s">
        <v>33</v>
      </c>
      <c r="H18" s="6" t="s">
        <v>33</v>
      </c>
      <c r="I18" s="6" t="s">
        <v>33</v>
      </c>
      <c r="J18" s="6" t="s">
        <v>33</v>
      </c>
      <c r="K18" s="6" t="s">
        <v>33</v>
      </c>
      <c r="L18" s="6" t="s">
        <v>33</v>
      </c>
      <c r="M18" s="6" t="s">
        <v>33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5" customHeight="1" x14ac:dyDescent="0.2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5" customHeight="1" x14ac:dyDescent="0.2">
      <c r="A20" s="8" t="s">
        <v>13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5" customHeight="1" x14ac:dyDescent="0.2">
      <c r="A21" s="9"/>
      <c r="B21" s="6" t="s">
        <v>33</v>
      </c>
      <c r="C21" s="6" t="s">
        <v>33</v>
      </c>
      <c r="D21" s="6" t="s">
        <v>33</v>
      </c>
      <c r="E21" s="6" t="s">
        <v>33</v>
      </c>
      <c r="F21" s="6" t="s">
        <v>33</v>
      </c>
      <c r="G21" s="6" t="s">
        <v>33</v>
      </c>
      <c r="H21" s="6" t="s">
        <v>33</v>
      </c>
      <c r="I21" s="6" t="s">
        <v>33</v>
      </c>
      <c r="J21" s="6" t="s">
        <v>33</v>
      </c>
      <c r="K21" s="6" t="s">
        <v>33</v>
      </c>
      <c r="L21" s="6" t="s">
        <v>33</v>
      </c>
      <c r="M21" s="6" t="s">
        <v>33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5" customHeight="1" x14ac:dyDescent="0.2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5" customHeight="1" x14ac:dyDescent="0.2">
      <c r="A23" s="8" t="s">
        <v>14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5" customHeight="1" x14ac:dyDescent="0.2">
      <c r="A24" s="9"/>
      <c r="B24" s="6" t="s">
        <v>33</v>
      </c>
      <c r="C24" s="6" t="s">
        <v>33</v>
      </c>
      <c r="D24" s="6" t="s">
        <v>33</v>
      </c>
      <c r="E24" s="6" t="s">
        <v>33</v>
      </c>
      <c r="F24" s="6" t="s">
        <v>33</v>
      </c>
      <c r="G24" s="6" t="s">
        <v>33</v>
      </c>
      <c r="H24" s="6" t="s">
        <v>33</v>
      </c>
      <c r="I24" s="6" t="s">
        <v>33</v>
      </c>
      <c r="J24" s="6" t="s">
        <v>33</v>
      </c>
      <c r="K24" s="6" t="s">
        <v>33</v>
      </c>
      <c r="L24" s="6" t="s">
        <v>33</v>
      </c>
      <c r="M24" s="6" t="s">
        <v>33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5" customHeight="1" x14ac:dyDescent="0.2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5" customHeight="1" x14ac:dyDescent="0.2">
      <c r="A26" s="8" t="s">
        <v>15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5" customHeight="1" x14ac:dyDescent="0.2">
      <c r="A27" s="9"/>
      <c r="B27" s="6" t="s">
        <v>33</v>
      </c>
      <c r="C27" s="6" t="s">
        <v>33</v>
      </c>
      <c r="D27" s="6" t="s">
        <v>33</v>
      </c>
      <c r="E27" s="6" t="s">
        <v>33</v>
      </c>
      <c r="F27" s="6" t="s">
        <v>33</v>
      </c>
      <c r="G27" s="6" t="s">
        <v>33</v>
      </c>
      <c r="H27" s="6" t="s">
        <v>33</v>
      </c>
      <c r="I27" s="6" t="s">
        <v>33</v>
      </c>
      <c r="J27" s="6" t="s">
        <v>33</v>
      </c>
      <c r="K27" s="6" t="s">
        <v>33</v>
      </c>
      <c r="L27" s="6" t="s">
        <v>33</v>
      </c>
      <c r="M27" s="6" t="s">
        <v>33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5" customHeight="1" x14ac:dyDescent="0.2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5" customHeight="1" x14ac:dyDescent="0.2">
      <c r="A29" s="8" t="s">
        <v>16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5" customHeight="1" x14ac:dyDescent="0.2">
      <c r="A30" s="9"/>
      <c r="B30" s="6" t="s">
        <v>33</v>
      </c>
      <c r="C30" s="6" t="s">
        <v>33</v>
      </c>
      <c r="D30" s="6" t="s">
        <v>33</v>
      </c>
      <c r="E30" s="6" t="s">
        <v>33</v>
      </c>
      <c r="F30" s="6" t="s">
        <v>33</v>
      </c>
      <c r="G30" s="6" t="s">
        <v>33</v>
      </c>
      <c r="H30" s="6" t="s">
        <v>33</v>
      </c>
      <c r="I30" s="6" t="s">
        <v>33</v>
      </c>
      <c r="J30" s="6" t="s">
        <v>33</v>
      </c>
      <c r="K30" s="6" t="s">
        <v>33</v>
      </c>
      <c r="L30" s="6" t="s">
        <v>33</v>
      </c>
      <c r="M30" s="6" t="s">
        <v>33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5" customHeight="1" x14ac:dyDescent="0.2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5" customHeight="1" x14ac:dyDescent="0.2">
      <c r="A32" s="8" t="s">
        <v>17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" customHeight="1" x14ac:dyDescent="0.2">
      <c r="A33" s="9"/>
      <c r="B33" s="6" t="s">
        <v>33</v>
      </c>
      <c r="C33" s="6" t="s">
        <v>33</v>
      </c>
      <c r="D33" s="6" t="s">
        <v>33</v>
      </c>
      <c r="E33" s="6" t="s">
        <v>33</v>
      </c>
      <c r="F33" s="6" t="s">
        <v>33</v>
      </c>
      <c r="G33" s="6" t="s">
        <v>33</v>
      </c>
      <c r="H33" s="6" t="s">
        <v>33</v>
      </c>
      <c r="I33" s="6" t="s">
        <v>33</v>
      </c>
      <c r="J33" s="6" t="s">
        <v>33</v>
      </c>
      <c r="K33" s="6" t="s">
        <v>33</v>
      </c>
      <c r="L33" s="6" t="s">
        <v>33</v>
      </c>
      <c r="M33" s="6" t="s">
        <v>33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" customHeight="1" x14ac:dyDescent="0.2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5" customHeight="1" x14ac:dyDescent="0.2">
      <c r="A35" s="8" t="s">
        <v>18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5" customHeight="1" x14ac:dyDescent="0.2">
      <c r="A36" s="9"/>
      <c r="B36" s="6" t="s">
        <v>33</v>
      </c>
      <c r="C36" s="6" t="s">
        <v>33</v>
      </c>
      <c r="D36" s="6" t="s">
        <v>33</v>
      </c>
      <c r="E36" s="6" t="s">
        <v>33</v>
      </c>
      <c r="F36" s="6" t="s">
        <v>33</v>
      </c>
      <c r="G36" s="6" t="s">
        <v>33</v>
      </c>
      <c r="H36" s="6" t="s">
        <v>33</v>
      </c>
      <c r="I36" s="6" t="s">
        <v>33</v>
      </c>
      <c r="J36" s="6" t="s">
        <v>33</v>
      </c>
      <c r="K36" s="6" t="s">
        <v>33</v>
      </c>
      <c r="L36" s="6" t="s">
        <v>33</v>
      </c>
      <c r="M36" s="6" t="s">
        <v>33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5" customHeight="1" x14ac:dyDescent="0.2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" customHeight="1" x14ac:dyDescent="0.2">
      <c r="A38" s="8" t="s">
        <v>19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" customHeight="1" x14ac:dyDescent="0.2">
      <c r="A39" s="9"/>
      <c r="B39" s="6" t="s">
        <v>33</v>
      </c>
      <c r="C39" s="6" t="s">
        <v>33</v>
      </c>
      <c r="D39" s="6" t="s">
        <v>33</v>
      </c>
      <c r="E39" s="6" t="s">
        <v>33</v>
      </c>
      <c r="F39" s="6" t="s">
        <v>33</v>
      </c>
      <c r="G39" s="6" t="s">
        <v>33</v>
      </c>
      <c r="H39" s="6" t="s">
        <v>33</v>
      </c>
      <c r="I39" s="6" t="s">
        <v>33</v>
      </c>
      <c r="J39" s="6" t="s">
        <v>33</v>
      </c>
      <c r="K39" s="6" t="s">
        <v>33</v>
      </c>
      <c r="L39" s="6" t="s">
        <v>33</v>
      </c>
      <c r="M39" s="6" t="s">
        <v>33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5" customHeight="1" x14ac:dyDescent="0.2">
      <c r="A40" s="9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" customHeight="1" x14ac:dyDescent="0.2">
      <c r="A41" s="8" t="s">
        <v>20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2.75" x14ac:dyDescent="0.2">
      <c r="A42" s="9"/>
      <c r="B42" s="6" t="s">
        <v>33</v>
      </c>
      <c r="C42" s="6" t="s">
        <v>33</v>
      </c>
      <c r="D42" s="6" t="s">
        <v>33</v>
      </c>
      <c r="E42" s="6" t="s">
        <v>33</v>
      </c>
      <c r="F42" s="6" t="s">
        <v>33</v>
      </c>
      <c r="G42" s="6" t="s">
        <v>33</v>
      </c>
      <c r="H42" s="6" t="s">
        <v>33</v>
      </c>
      <c r="I42" s="6" t="s">
        <v>33</v>
      </c>
      <c r="J42" s="6" t="s">
        <v>33</v>
      </c>
      <c r="K42" s="6" t="s">
        <v>33</v>
      </c>
      <c r="L42" s="6" t="s">
        <v>33</v>
      </c>
      <c r="M42" s="6" t="s">
        <v>33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2.75" x14ac:dyDescent="0.2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2.75" x14ac:dyDescent="0.2">
      <c r="A44" s="8" t="s">
        <v>21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2.75" x14ac:dyDescent="0.2">
      <c r="A45" s="9"/>
      <c r="B45" s="6" t="s">
        <v>33</v>
      </c>
      <c r="C45" s="6" t="s">
        <v>33</v>
      </c>
      <c r="D45" s="6" t="s">
        <v>33</v>
      </c>
      <c r="E45" s="6" t="s">
        <v>33</v>
      </c>
      <c r="F45" s="6" t="s">
        <v>33</v>
      </c>
      <c r="G45" s="6" t="s">
        <v>33</v>
      </c>
      <c r="H45" s="6" t="s">
        <v>33</v>
      </c>
      <c r="I45" s="6" t="s">
        <v>33</v>
      </c>
      <c r="J45" s="6" t="s">
        <v>33</v>
      </c>
      <c r="K45" s="6" t="s">
        <v>33</v>
      </c>
      <c r="L45" s="6" t="s">
        <v>33</v>
      </c>
      <c r="M45" s="6" t="s">
        <v>33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2.75" x14ac:dyDescent="0.2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2.75" x14ac:dyDescent="0.2">
      <c r="A47" s="8" t="s">
        <v>22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2.75" x14ac:dyDescent="0.2">
      <c r="A48" s="9"/>
      <c r="B48" s="6" t="s">
        <v>33</v>
      </c>
      <c r="C48" s="6" t="s">
        <v>33</v>
      </c>
      <c r="D48" s="6" t="s">
        <v>33</v>
      </c>
      <c r="E48" s="6" t="s">
        <v>33</v>
      </c>
      <c r="F48" s="6" t="s">
        <v>33</v>
      </c>
      <c r="G48" s="6" t="s">
        <v>33</v>
      </c>
      <c r="H48" s="6" t="s">
        <v>33</v>
      </c>
      <c r="I48" s="6" t="s">
        <v>33</v>
      </c>
      <c r="J48" s="6" t="s">
        <v>33</v>
      </c>
      <c r="K48" s="6" t="s">
        <v>33</v>
      </c>
      <c r="L48" s="6" t="s">
        <v>33</v>
      </c>
      <c r="M48" s="6" t="s">
        <v>33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2.75" x14ac:dyDescent="0.2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2.75" x14ac:dyDescent="0.2">
      <c r="A50" s="8" t="s">
        <v>23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2.75" x14ac:dyDescent="0.2">
      <c r="A51" s="9"/>
      <c r="B51" s="6" t="s">
        <v>33</v>
      </c>
      <c r="C51" s="6" t="s">
        <v>33</v>
      </c>
      <c r="D51" s="6" t="s">
        <v>33</v>
      </c>
      <c r="E51" s="6" t="s">
        <v>33</v>
      </c>
      <c r="F51" s="6" t="s">
        <v>33</v>
      </c>
      <c r="G51" s="6" t="s">
        <v>33</v>
      </c>
      <c r="H51" s="6" t="s">
        <v>33</v>
      </c>
      <c r="I51" s="6" t="s">
        <v>33</v>
      </c>
      <c r="J51" s="6" t="s">
        <v>33</v>
      </c>
      <c r="K51" s="6" t="s">
        <v>33</v>
      </c>
      <c r="L51" s="6" t="s">
        <v>33</v>
      </c>
      <c r="M51" s="6" t="s">
        <v>33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2.75" x14ac:dyDescent="0.2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7" spans="1:25" ht="12.75" x14ac:dyDescent="0.2">
      <c r="A57" t="s">
        <v>3</v>
      </c>
    </row>
  </sheetData>
  <mergeCells count="208">
    <mergeCell ref="Y32:Y34"/>
    <mergeCell ref="Y35:Y37"/>
    <mergeCell ref="Y38:Y40"/>
    <mergeCell ref="Y41:Y43"/>
    <mergeCell ref="Y44:Y46"/>
    <mergeCell ref="Y47:Y49"/>
    <mergeCell ref="Y50:Y52"/>
    <mergeCell ref="Y5:Y7"/>
    <mergeCell ref="Y8:Y10"/>
    <mergeCell ref="Y11:Y13"/>
    <mergeCell ref="Y14:Y16"/>
    <mergeCell ref="Y17:Y19"/>
    <mergeCell ref="Y20:Y22"/>
    <mergeCell ref="Y23:Y25"/>
    <mergeCell ref="Y26:Y28"/>
    <mergeCell ref="Y29:Y31"/>
    <mergeCell ref="W32:W34"/>
    <mergeCell ref="W35:W37"/>
    <mergeCell ref="W38:W40"/>
    <mergeCell ref="W41:W43"/>
    <mergeCell ref="W44:W46"/>
    <mergeCell ref="W47:W49"/>
    <mergeCell ref="W50:W52"/>
    <mergeCell ref="X5:X7"/>
    <mergeCell ref="X8:X10"/>
    <mergeCell ref="X11:X13"/>
    <mergeCell ref="X14:X16"/>
    <mergeCell ref="X17:X19"/>
    <mergeCell ref="X20:X22"/>
    <mergeCell ref="X23:X25"/>
    <mergeCell ref="X26:X28"/>
    <mergeCell ref="X29:X31"/>
    <mergeCell ref="X32:X34"/>
    <mergeCell ref="X35:X37"/>
    <mergeCell ref="X38:X40"/>
    <mergeCell ref="X41:X43"/>
    <mergeCell ref="X44:X46"/>
    <mergeCell ref="X47:X49"/>
    <mergeCell ref="X50:X52"/>
    <mergeCell ref="W5:W7"/>
    <mergeCell ref="W8:W10"/>
    <mergeCell ref="W11:W13"/>
    <mergeCell ref="W14:W16"/>
    <mergeCell ref="W17:W19"/>
    <mergeCell ref="W20:W22"/>
    <mergeCell ref="W23:W25"/>
    <mergeCell ref="W26:W28"/>
    <mergeCell ref="W29:W31"/>
    <mergeCell ref="U32:U34"/>
    <mergeCell ref="U35:U37"/>
    <mergeCell ref="U38:U40"/>
    <mergeCell ref="U41:U43"/>
    <mergeCell ref="U44:U46"/>
    <mergeCell ref="U47:U49"/>
    <mergeCell ref="U50:U52"/>
    <mergeCell ref="V5:V7"/>
    <mergeCell ref="V8:V10"/>
    <mergeCell ref="V11:V13"/>
    <mergeCell ref="V14:V16"/>
    <mergeCell ref="V17:V19"/>
    <mergeCell ref="V20:V22"/>
    <mergeCell ref="V23:V25"/>
    <mergeCell ref="V26:V28"/>
    <mergeCell ref="V29:V31"/>
    <mergeCell ref="V32:V34"/>
    <mergeCell ref="V35:V37"/>
    <mergeCell ref="V38:V40"/>
    <mergeCell ref="V41:V43"/>
    <mergeCell ref="V44:V46"/>
    <mergeCell ref="V47:V49"/>
    <mergeCell ref="V50:V52"/>
    <mergeCell ref="U5:U7"/>
    <mergeCell ref="U8:U10"/>
    <mergeCell ref="U11:U13"/>
    <mergeCell ref="U14:U16"/>
    <mergeCell ref="U17:U19"/>
    <mergeCell ref="U20:U22"/>
    <mergeCell ref="U23:U25"/>
    <mergeCell ref="U26:U28"/>
    <mergeCell ref="U29:U31"/>
    <mergeCell ref="S32:S34"/>
    <mergeCell ref="S35:S37"/>
    <mergeCell ref="S38:S40"/>
    <mergeCell ref="S41:S43"/>
    <mergeCell ref="S44:S46"/>
    <mergeCell ref="S47:S49"/>
    <mergeCell ref="S50:S52"/>
    <mergeCell ref="T5:T7"/>
    <mergeCell ref="T8:T10"/>
    <mergeCell ref="T11:T13"/>
    <mergeCell ref="T14:T16"/>
    <mergeCell ref="T17:T19"/>
    <mergeCell ref="T20:T22"/>
    <mergeCell ref="T23:T25"/>
    <mergeCell ref="T26:T28"/>
    <mergeCell ref="T29:T31"/>
    <mergeCell ref="T32:T34"/>
    <mergeCell ref="T35:T37"/>
    <mergeCell ref="T38:T40"/>
    <mergeCell ref="T41:T43"/>
    <mergeCell ref="T44:T46"/>
    <mergeCell ref="T47:T49"/>
    <mergeCell ref="T50:T52"/>
    <mergeCell ref="S5:S7"/>
    <mergeCell ref="S8:S10"/>
    <mergeCell ref="S11:S13"/>
    <mergeCell ref="S14:S16"/>
    <mergeCell ref="S17:S19"/>
    <mergeCell ref="S20:S22"/>
    <mergeCell ref="S23:S25"/>
    <mergeCell ref="S26:S28"/>
    <mergeCell ref="S29:S31"/>
    <mergeCell ref="Q32:Q34"/>
    <mergeCell ref="Q35:Q37"/>
    <mergeCell ref="Q38:Q40"/>
    <mergeCell ref="Q41:Q43"/>
    <mergeCell ref="Q44:Q46"/>
    <mergeCell ref="Q47:Q49"/>
    <mergeCell ref="Q50:Q52"/>
    <mergeCell ref="R5:R7"/>
    <mergeCell ref="R8:R10"/>
    <mergeCell ref="R11:R13"/>
    <mergeCell ref="R14:R16"/>
    <mergeCell ref="R17:R19"/>
    <mergeCell ref="R20:R22"/>
    <mergeCell ref="R23:R25"/>
    <mergeCell ref="R26:R28"/>
    <mergeCell ref="R29:R31"/>
    <mergeCell ref="R32:R34"/>
    <mergeCell ref="R35:R37"/>
    <mergeCell ref="R38:R40"/>
    <mergeCell ref="R41:R43"/>
    <mergeCell ref="R44:R46"/>
    <mergeCell ref="R47:R49"/>
    <mergeCell ref="R50:R52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O32:O34"/>
    <mergeCell ref="O35:O37"/>
    <mergeCell ref="O38:O40"/>
    <mergeCell ref="O41:O43"/>
    <mergeCell ref="O44:O46"/>
    <mergeCell ref="O47:O49"/>
    <mergeCell ref="O50:O52"/>
    <mergeCell ref="P5:P7"/>
    <mergeCell ref="P8:P10"/>
    <mergeCell ref="P11:P13"/>
    <mergeCell ref="P14:P16"/>
    <mergeCell ref="P17:P19"/>
    <mergeCell ref="P20:P22"/>
    <mergeCell ref="P23:P25"/>
    <mergeCell ref="P26:P28"/>
    <mergeCell ref="P29:P31"/>
    <mergeCell ref="P32:P34"/>
    <mergeCell ref="P35:P37"/>
    <mergeCell ref="P38:P40"/>
    <mergeCell ref="P41:P43"/>
    <mergeCell ref="P44:P46"/>
    <mergeCell ref="P47:P49"/>
    <mergeCell ref="P50:P52"/>
    <mergeCell ref="O5:O7"/>
    <mergeCell ref="O8:O10"/>
    <mergeCell ref="O11:O13"/>
    <mergeCell ref="O14:O16"/>
    <mergeCell ref="O17:O19"/>
    <mergeCell ref="O20:O22"/>
    <mergeCell ref="O23:O25"/>
    <mergeCell ref="O26:O28"/>
    <mergeCell ref="O29:O31"/>
    <mergeCell ref="A32:A34"/>
    <mergeCell ref="A35:A37"/>
    <mergeCell ref="A38:A40"/>
    <mergeCell ref="A41:A43"/>
    <mergeCell ref="A44:A46"/>
    <mergeCell ref="A47:A49"/>
    <mergeCell ref="A50:A52"/>
    <mergeCell ref="N5:N7"/>
    <mergeCell ref="N8:N10"/>
    <mergeCell ref="N11:N13"/>
    <mergeCell ref="N14:N16"/>
    <mergeCell ref="N17:N19"/>
    <mergeCell ref="N20:N22"/>
    <mergeCell ref="N23:N25"/>
    <mergeCell ref="N26:N28"/>
    <mergeCell ref="N29:N31"/>
    <mergeCell ref="N32:N34"/>
    <mergeCell ref="N35:N37"/>
    <mergeCell ref="N38:N40"/>
    <mergeCell ref="N41:N43"/>
    <mergeCell ref="N44:N46"/>
    <mergeCell ref="N47:N49"/>
    <mergeCell ref="N50:N52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Luminescence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Ilter, Didem</cp:lastModifiedBy>
  <dcterms:created xsi:type="dcterms:W3CDTF">2022-11-12T21:14:26Z</dcterms:created>
  <dcterms:modified xsi:type="dcterms:W3CDTF">2022-11-16T17:00:55Z</dcterms:modified>
</cp:coreProperties>
</file>