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4473331\Downloads\"/>
    </mc:Choice>
  </mc:AlternateContent>
  <xr:revisionPtr revIDLastSave="0" documentId="8_{06EED33A-174D-47BD-AF4E-136260A548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formatted" sheetId="10" r:id="rId1"/>
    <sheet name="Sum159" sheetId="8" r:id="rId2"/>
    <sheet name="SNU668" sheetId="9" r:id="rId3"/>
    <sheet name="Luminescence 1_01" sheetId="1" r:id="rId4"/>
    <sheet name="General information" sheetId="2" r:id="rId5"/>
    <sheet name="Session information" sheetId="3" r:id="rId6"/>
    <sheet name="Instrument information" sheetId="4" r:id="rId7"/>
    <sheet name="Protocol parameters" sheetId="5" r:id="rId8"/>
    <sheet name="Run log" sheetId="6" r:id="rId9"/>
    <sheet name="Layout definitions" sheetId="7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0" l="1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P10" i="9"/>
  <c r="P9" i="9"/>
  <c r="P8" i="9"/>
  <c r="H8" i="9"/>
  <c r="P7" i="9"/>
  <c r="H7" i="9"/>
  <c r="P6" i="9"/>
  <c r="H6" i="9"/>
  <c r="P5" i="9"/>
  <c r="H5" i="9"/>
  <c r="P4" i="9"/>
  <c r="H4" i="9"/>
  <c r="P3" i="9"/>
  <c r="H3" i="9"/>
  <c r="P2" i="9"/>
  <c r="H2" i="9"/>
  <c r="H12" i="8"/>
  <c r="P1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P9" i="8"/>
  <c r="P8" i="8"/>
  <c r="H8" i="8"/>
  <c r="P7" i="8"/>
  <c r="H7" i="8"/>
  <c r="P6" i="8"/>
  <c r="H6" i="8"/>
  <c r="P5" i="8"/>
  <c r="H5" i="8"/>
  <c r="P4" i="8"/>
  <c r="H4" i="8"/>
  <c r="P3" i="8"/>
  <c r="H3" i="8"/>
  <c r="P2" i="8"/>
  <c r="H2" i="8"/>
  <c r="O12" i="9" l="1"/>
  <c r="O13" i="8"/>
  <c r="O13" i="9"/>
  <c r="O12" i="8"/>
  <c r="J35" i="9" l="1"/>
  <c r="J5" i="8"/>
  <c r="J50" i="9"/>
  <c r="J49" i="9"/>
  <c r="J56" i="9"/>
  <c r="J34" i="9"/>
  <c r="J46" i="9"/>
  <c r="J15" i="9"/>
  <c r="J47" i="9"/>
  <c r="J48" i="9"/>
  <c r="J18" i="9"/>
  <c r="J58" i="9"/>
  <c r="J42" i="9"/>
  <c r="J6" i="9"/>
  <c r="J57" i="9"/>
  <c r="J13" i="9"/>
  <c r="J7" i="9"/>
  <c r="J25" i="9"/>
  <c r="J38" i="9"/>
  <c r="J20" i="9"/>
  <c r="J23" i="9"/>
  <c r="J19" i="9"/>
  <c r="J29" i="9"/>
  <c r="J40" i="9"/>
  <c r="J24" i="9"/>
  <c r="J51" i="9"/>
  <c r="J32" i="9"/>
  <c r="J41" i="9"/>
  <c r="J12" i="9"/>
  <c r="J36" i="9"/>
  <c r="J17" i="9"/>
  <c r="J4" i="9"/>
  <c r="J21" i="9"/>
  <c r="J31" i="9"/>
  <c r="J52" i="9"/>
  <c r="J59" i="9"/>
  <c r="J30" i="9"/>
  <c r="J22" i="9"/>
  <c r="J2" i="9"/>
  <c r="J16" i="9"/>
  <c r="J55" i="9"/>
  <c r="J3" i="9"/>
  <c r="J5" i="9"/>
  <c r="J53" i="9"/>
  <c r="J14" i="9"/>
  <c r="J8" i="9"/>
  <c r="J54" i="9"/>
  <c r="J39" i="9"/>
  <c r="J37" i="9"/>
  <c r="J33" i="9"/>
  <c r="J31" i="8"/>
  <c r="J38" i="8"/>
  <c r="J53" i="8"/>
  <c r="J59" i="8"/>
  <c r="J32" i="8"/>
  <c r="J35" i="8"/>
  <c r="J24" i="8"/>
  <c r="J3" i="8"/>
  <c r="J47" i="8"/>
  <c r="J49" i="8"/>
  <c r="J54" i="8"/>
  <c r="J12" i="8"/>
  <c r="J15" i="8"/>
  <c r="J21" i="8"/>
  <c r="J58" i="8"/>
  <c r="J48" i="8"/>
  <c r="J17" i="8"/>
  <c r="J14" i="8"/>
  <c r="J51" i="8"/>
  <c r="J46" i="8"/>
  <c r="J20" i="8"/>
  <c r="J36" i="8"/>
  <c r="J39" i="8"/>
  <c r="J18" i="8"/>
  <c r="J57" i="8"/>
  <c r="J33" i="8"/>
  <c r="J55" i="8"/>
  <c r="J4" i="8"/>
  <c r="J41" i="8"/>
  <c r="J6" i="8"/>
  <c r="J50" i="8"/>
  <c r="J16" i="8"/>
  <c r="J25" i="8"/>
  <c r="J7" i="8"/>
  <c r="J23" i="8"/>
  <c r="J22" i="8"/>
  <c r="J37" i="8"/>
  <c r="J13" i="8"/>
  <c r="J2" i="8"/>
  <c r="J52" i="8"/>
  <c r="J30" i="8"/>
  <c r="J19" i="8"/>
  <c r="J56" i="8"/>
  <c r="J40" i="8"/>
  <c r="J8" i="8"/>
  <c r="J42" i="8"/>
  <c r="J34" i="8"/>
  <c r="J29" i="8"/>
</calcChain>
</file>

<file path=xl/sharedStrings.xml><?xml version="1.0" encoding="utf-8"?>
<sst xmlns="http://schemas.openxmlformats.org/spreadsheetml/2006/main" count="1352" uniqueCount="126">
  <si>
    <t>Measurement results</t>
  </si>
  <si>
    <t>250925_Glucose_Promega_SUM159-SNU668_Andor.skax</t>
  </si>
  <si>
    <t>2025-09-25T03:35:34-04:00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</si>
  <si>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</si>
  <si>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</si>
  <si>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</si>
  <si>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</si>
  <si>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</si>
  <si>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</si>
  <si>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</si>
  <si>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</si>
  <si>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</si>
  <si>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</si>
  <si>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</si>
  <si>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</si>
  <si>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</si>
  <si>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</si>
  <si>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</si>
  <si>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</si>
  <si>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</si>
  <si>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</si>
  <si>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</si>
  <si>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</si>
  <si>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</si>
  <si>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Sample</t>
  </si>
  <si>
    <t>Blank1</t>
  </si>
  <si>
    <t>Autoloading range A1 - Y44</t>
  </si>
  <si>
    <t>General information</t>
  </si>
  <si>
    <t>Report generated with SW version</t>
  </si>
  <si>
    <t>SkanIt Software 7.1 RE for Microplate Readers RE, ver. 7.1.0.44</t>
  </si>
  <si>
    <t>Time zone</t>
  </si>
  <si>
    <t>(UTC-05:00) Eastern Time (US &amp; Canada). Daylight saving time in effect: Offset from UTC is -04:00</t>
  </si>
  <si>
    <t>Session information</t>
  </si>
  <si>
    <t>Session name</t>
  </si>
  <si>
    <t>Session notes</t>
  </si>
  <si>
    <t>Executed with</t>
  </si>
  <si>
    <t>SkanIt Software for Microplate Readers RE,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</si>
  <si>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</si>
  <si>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</si>
  <si>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</si>
  <si>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</si>
  <si>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</si>
  <si>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</si>
  <si>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</si>
  <si>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</si>
  <si>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</si>
  <si>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3020-80610</t>
  </si>
  <si>
    <t>Instrument modules</t>
  </si>
  <si>
    <t>Module's name</t>
  </si>
  <si>
    <t>LAT module</t>
  </si>
  <si>
    <t>Module's serial number</t>
  </si>
  <si>
    <t>LL2019805</t>
  </si>
  <si>
    <t>Plate adapter name</t>
  </si>
  <si>
    <t>384-well adapter for plate without lid</t>
  </si>
  <si>
    <t>Plate adapter number</t>
  </si>
  <si>
    <t>4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</si>
  <si>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</si>
  <si>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</si>
  <si>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</si>
  <si>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</si>
  <si>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</si>
  <si>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</si>
  <si>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</si>
  <si>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</si>
  <si>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7</t>
  </si>
  <si>
    <t>Use settle delay</t>
  </si>
  <si>
    <t>Check temperature at start [°C]</t>
  </si>
  <si>
    <t>Plate with lid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</si>
  <si>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</si>
  <si>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</si>
  <si>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</si>
  <si>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</si>
  <si>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</si>
  <si>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</si>
  <si>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</si>
  <si>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</si>
  <si>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</si>
  <si>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</si>
  <si>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</si>
  <si>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250925_Glucose_Promega_SUM159-SNU668_Andor.skax started</t>
  </si>
  <si>
    <t>2025-09-25T03:35:35-04:00</t>
  </si>
  <si>
    <t>Temperature</t>
  </si>
  <si>
    <t>23.6°C</t>
  </si>
  <si>
    <t>Step Luminescence 1 started</t>
  </si>
  <si>
    <t>2025-09-25T03:35:42-04:00</t>
  </si>
  <si>
    <t>Calibration</t>
  </si>
  <si>
    <t>Luminometric 0.917197 409986821</t>
  </si>
  <si>
    <t>2025-09-25T03:36:02-04:00</t>
  </si>
  <si>
    <t>2025-09-25T03:37:02-04:00</t>
  </si>
  <si>
    <t>2025-09-25T03:38:02-04:00</t>
  </si>
  <si>
    <t>2025-09-25T03:39:02-04:00</t>
  </si>
  <si>
    <t>2025-09-25T03:40:02-04:00</t>
  </si>
  <si>
    <t>2025-09-25T03:41:02-04:00</t>
  </si>
  <si>
    <t>2025-09-25T03:41:49-04:00</t>
  </si>
  <si>
    <t>Step Luminescence 1 ended</t>
  </si>
  <si>
    <t>2025-09-25T03:42:01-04:00</t>
  </si>
  <si>
    <t>Session 250925_Glucose_Promega_SUM159-SNU668_Andor.skax ended</t>
  </si>
  <si>
    <t>Plate template</t>
  </si>
  <si>
    <t>Greiner, F-bottom, 384-well</t>
  </si>
  <si>
    <t>Group 1</t>
  </si>
  <si>
    <t>Day 0 Media</t>
  </si>
  <si>
    <t>Dilution Factor</t>
  </si>
  <si>
    <t>Average</t>
  </si>
  <si>
    <t>[Glucose] mM</t>
  </si>
  <si>
    <t>uM</t>
  </si>
  <si>
    <t>average</t>
  </si>
  <si>
    <t>Day1</t>
  </si>
  <si>
    <t>2N</t>
  </si>
  <si>
    <t>4N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</si>
  <si>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</si>
  <si>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</t>
  </si>
  <si>
    <t>Day2</t>
  </si>
  <si>
    <t>Day 3</t>
  </si>
  <si>
    <t>slope</t>
  </si>
  <si>
    <t>y-intercept</t>
  </si>
  <si>
    <t>x</t>
  </si>
  <si>
    <t>ploidy</t>
  </si>
  <si>
    <t>G0</t>
  </si>
  <si>
    <t>R1</t>
  </si>
  <si>
    <t>R2</t>
  </si>
  <si>
    <t>R3</t>
  </si>
  <si>
    <t>Day</t>
  </si>
  <si>
    <t>NA</t>
  </si>
  <si>
    <t>CellLine</t>
  </si>
  <si>
    <t>SUM159</t>
  </si>
  <si>
    <t>SNU668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</si>
</sst>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7F4F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1"/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 applyAlignment="1">
      <alignment horizontal="right"/>
    </xf>
    <xf numFmtId="0" fontId="0" fillId="13" borderId="0" xfId="0" applyFill="1" applyAlignment="1">
      <alignment horizontal="right"/>
    </xf>
    <xf numFmtId="0" fontId="0" fillId="14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1047BAEF-47CB-410E-9E96-B302E5E14B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'Sum159'!$L$3:$L$10</c:f>
              <c:numCache>
                <c:formatCode>General</c:formatCode>
                <c:ptCount val="8"/>
                <c:pt idx="0">
                  <c:v>4.0000000000000001E-3</c:v>
                </c:pt>
                <c:pt idx="1">
                  <c:v>0.02</c:v>
                </c:pt>
                <c:pt idx="2">
                  <c:v>0.1</c:v>
                </c:pt>
                <c:pt idx="3">
                  <c:v>0.5</c:v>
                </c:pt>
                <c:pt idx="4">
                  <c:v>2</c:v>
                </c:pt>
                <c:pt idx="5">
                  <c:v>10</c:v>
                </c:pt>
                <c:pt idx="6">
                  <c:v>25</c:v>
                </c:pt>
                <c:pt idx="7">
                  <c:v>50</c:v>
                </c:pt>
              </c:numCache>
            </c:numRef>
          </c:xVal>
          <c:yVal>
            <c:numRef>
              <c:f>'Sum159'!$P$3:$P$10</c:f>
              <c:numCache>
                <c:formatCode>General</c:formatCode>
                <c:ptCount val="8"/>
                <c:pt idx="0">
                  <c:v>2406.38</c:v>
                </c:pt>
                <c:pt idx="1">
                  <c:v>2656.51</c:v>
                </c:pt>
                <c:pt idx="2">
                  <c:v>3336.73</c:v>
                </c:pt>
                <c:pt idx="3">
                  <c:v>5873.6049999999996</c:v>
                </c:pt>
                <c:pt idx="4">
                  <c:v>15278.7</c:v>
                </c:pt>
                <c:pt idx="5">
                  <c:v>62169</c:v>
                </c:pt>
                <c:pt idx="6">
                  <c:v>167975</c:v>
                </c:pt>
                <c:pt idx="7">
                  <c:v>380824.5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94-4193-88B1-97BC51071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70847"/>
        <c:axId val="2136779167"/>
      </c:scatterChart>
      <c:valAx>
        <c:axId val="21367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9167"/>
        <c:crosses val="autoZero"/>
        <c:crossBetween val="midCat"/>
      </c:valAx>
      <c:valAx>
        <c:axId val="21367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'SNU668'!$L$3:$L$10</c:f>
              <c:numCache>
                <c:formatCode>General</c:formatCode>
                <c:ptCount val="8"/>
                <c:pt idx="0">
                  <c:v>4.0000000000000001E-3</c:v>
                </c:pt>
                <c:pt idx="1">
                  <c:v>0.02</c:v>
                </c:pt>
                <c:pt idx="2">
                  <c:v>0.1</c:v>
                </c:pt>
                <c:pt idx="3">
                  <c:v>0.5</c:v>
                </c:pt>
                <c:pt idx="4">
                  <c:v>2</c:v>
                </c:pt>
                <c:pt idx="5">
                  <c:v>10</c:v>
                </c:pt>
                <c:pt idx="6">
                  <c:v>25</c:v>
                </c:pt>
                <c:pt idx="7">
                  <c:v>50</c:v>
                </c:pt>
              </c:numCache>
            </c:numRef>
          </c:xVal>
          <c:yVal>
            <c:numRef>
              <c:f>'SNU668'!$P$3:$P$10</c:f>
              <c:numCache>
                <c:formatCode>General</c:formatCode>
                <c:ptCount val="8"/>
                <c:pt idx="0">
                  <c:v>2406.38</c:v>
                </c:pt>
                <c:pt idx="1">
                  <c:v>2656.51</c:v>
                </c:pt>
                <c:pt idx="2">
                  <c:v>3336.73</c:v>
                </c:pt>
                <c:pt idx="3">
                  <c:v>5873.6049999999996</c:v>
                </c:pt>
                <c:pt idx="4">
                  <c:v>15278.7</c:v>
                </c:pt>
                <c:pt idx="5">
                  <c:v>62169</c:v>
                </c:pt>
                <c:pt idx="6">
                  <c:v>167975</c:v>
                </c:pt>
                <c:pt idx="7">
                  <c:v>380824.5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13-40CF-BB7D-0386F9894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70847"/>
        <c:axId val="2136779167"/>
      </c:scatterChart>
      <c:valAx>
        <c:axId val="21367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9167"/>
        <c:crosses val="autoZero"/>
        <c:crossBetween val="midCat"/>
      </c:valAx>
      <c:valAx>
        <c:axId val="21367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0</xdr:row>
      <xdr:rowOff>0</xdr:rowOff>
    </xdr:from>
    <xdr:to>
      <xdr:col>25</xdr:col>
      <xdr:colOff>76200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73174-BD43-431A-B76C-56FCE5495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0</xdr:row>
      <xdr:rowOff>0</xdr:rowOff>
    </xdr:from>
    <xdr:to>
      <xdr:col>25</xdr:col>
      <xdr:colOff>76200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2C07DC-0753-434F-BFE9-FAE716D26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D59C-1C79-441F-99D0-83558B8015CB}">
  <dimension ref="A1:J99"/>
  <sheetViews>
    <sheetView tabSelected="1" workbookViewId="0"/>
  </sheetViews>
  <sheetFormatPr defaultRowHeight="12.5" x14ac:dyDescent="0.25"/>
  <cols>
    <col min="8" max="9" width="8.7265625" customWidth="1"/>
    <col min="10" max="10" width="20.26953125" customWidth="1"/>
  </cols>
  <sheetData>
    <row r="1" spans="1:1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101</v>
      </c>
      <c r="H1" s="7" t="s">
        <v>102</v>
      </c>
      <c r="I1" t="s">
        <v>123</v>
      </c>
      <c r="J1" s="8" t="s">
        <v>103</v>
      </c>
    </row>
    <row r="2" spans="1:10" x14ac:dyDescent="0.25">
      <c r="A2" t="s">
        <v>122</v>
      </c>
      <c r="B2">
        <v>0</v>
      </c>
      <c r="C2" s="23">
        <v>4565.0600000000004</v>
      </c>
      <c r="D2" s="23">
        <v>4820.66</v>
      </c>
      <c r="E2" s="23">
        <v>4460.6899999999996</v>
      </c>
      <c r="F2" s="1">
        <v>0</v>
      </c>
      <c r="G2" s="1">
        <v>10</v>
      </c>
      <c r="H2" s="7">
        <f>AVERAGE(C2:E2)</f>
        <v>4615.47</v>
      </c>
      <c r="I2" t="s">
        <v>124</v>
      </c>
      <c r="J2">
        <v>8.091459389368753E-3</v>
      </c>
    </row>
    <row r="3" spans="1:10" x14ac:dyDescent="0.25">
      <c r="A3" t="s">
        <v>122</v>
      </c>
      <c r="B3">
        <v>0.1</v>
      </c>
      <c r="C3" s="23">
        <v>59455.8</v>
      </c>
      <c r="D3" s="23">
        <v>62865.1</v>
      </c>
      <c r="E3" s="23">
        <v>59412</v>
      </c>
      <c r="F3" s="1">
        <v>0</v>
      </c>
      <c r="G3" s="1">
        <v>10</v>
      </c>
      <c r="H3" s="7">
        <f>AVERAGE(C3:E3)</f>
        <v>60577.633333333331</v>
      </c>
      <c r="I3" t="s">
        <v>124</v>
      </c>
      <c r="J3">
        <v>8.3330048428917031E-2</v>
      </c>
    </row>
    <row r="4" spans="1:10" x14ac:dyDescent="0.25">
      <c r="A4" t="s">
        <v>122</v>
      </c>
      <c r="B4">
        <v>0.25</v>
      </c>
      <c r="C4" s="23">
        <v>154835</v>
      </c>
      <c r="D4" s="23">
        <v>172576</v>
      </c>
      <c r="E4" s="23">
        <v>159819</v>
      </c>
      <c r="F4" s="1">
        <v>0</v>
      </c>
      <c r="G4" s="1">
        <v>10</v>
      </c>
      <c r="H4" s="7">
        <f>AVERAGE(C4:E4)</f>
        <v>162410</v>
      </c>
      <c r="I4" t="s">
        <v>124</v>
      </c>
      <c r="J4">
        <v>0.22023904426100441</v>
      </c>
    </row>
    <row r="5" spans="1:10" x14ac:dyDescent="0.25">
      <c r="A5" t="s">
        <v>122</v>
      </c>
      <c r="B5">
        <v>0.5</v>
      </c>
      <c r="C5" s="23">
        <v>349841</v>
      </c>
      <c r="D5" s="23">
        <v>387046</v>
      </c>
      <c r="E5" s="23">
        <v>380574</v>
      </c>
      <c r="F5" s="1">
        <v>0</v>
      </c>
      <c r="G5" s="1">
        <v>10</v>
      </c>
      <c r="H5" s="7">
        <f>AVERAGE(C5:E5)</f>
        <v>372487</v>
      </c>
      <c r="I5" t="s">
        <v>124</v>
      </c>
      <c r="J5">
        <v>0.50267803746994899</v>
      </c>
    </row>
    <row r="6" spans="1:10" x14ac:dyDescent="0.25">
      <c r="A6" t="s">
        <v>122</v>
      </c>
      <c r="B6">
        <v>1</v>
      </c>
      <c r="C6" s="23">
        <v>60224.7</v>
      </c>
      <c r="D6" s="23">
        <v>65047.8</v>
      </c>
      <c r="E6" s="23">
        <v>63141</v>
      </c>
      <c r="F6" s="1">
        <v>0</v>
      </c>
      <c r="G6" s="1">
        <v>100</v>
      </c>
      <c r="H6" s="7">
        <f>AVERAGE(C6:E6)</f>
        <v>62804.5</v>
      </c>
      <c r="I6" t="s">
        <v>124</v>
      </c>
      <c r="J6">
        <v>0.86323969607074991</v>
      </c>
    </row>
    <row r="7" spans="1:10" x14ac:dyDescent="0.25">
      <c r="A7" t="s">
        <v>122</v>
      </c>
      <c r="B7">
        <v>5</v>
      </c>
      <c r="C7" s="23">
        <v>303505</v>
      </c>
      <c r="D7" s="23">
        <v>329964</v>
      </c>
      <c r="E7" s="23">
        <v>320549</v>
      </c>
      <c r="F7" s="1">
        <v>0</v>
      </c>
      <c r="G7" s="1">
        <v>100</v>
      </c>
      <c r="H7" s="7">
        <f>AVERAGE(C7:E7)</f>
        <v>318006</v>
      </c>
      <c r="I7" t="s">
        <v>124</v>
      </c>
      <c r="J7">
        <v>4.2943080531689795</v>
      </c>
    </row>
    <row r="8" spans="1:10" ht="13" thickBot="1" x14ac:dyDescent="0.3">
      <c r="A8" t="s">
        <v>122</v>
      </c>
      <c r="B8">
        <v>25</v>
      </c>
      <c r="C8" s="23">
        <v>300687</v>
      </c>
      <c r="D8" s="23">
        <v>317452</v>
      </c>
      <c r="E8" s="23">
        <v>305346</v>
      </c>
      <c r="F8" s="1">
        <v>0</v>
      </c>
      <c r="G8" s="1">
        <v>500</v>
      </c>
      <c r="H8" s="7">
        <f>AVERAGE(C8:E8)</f>
        <v>307828.33333333331</v>
      </c>
      <c r="I8" t="s">
        <v>124</v>
      </c>
      <c r="J8">
        <v>20.787369717296134</v>
      </c>
    </row>
    <row r="9" spans="1:10" ht="13" thickBot="1" x14ac:dyDescent="0.3">
      <c r="A9" s="11" t="s">
        <v>107</v>
      </c>
      <c r="B9" s="12">
        <v>0</v>
      </c>
      <c r="C9" s="17">
        <v>3956.47</v>
      </c>
      <c r="D9" s="17">
        <v>3802.87</v>
      </c>
      <c r="E9" s="17">
        <v>3542.81</v>
      </c>
      <c r="F9" s="1">
        <v>1</v>
      </c>
      <c r="G9" s="1">
        <v>10</v>
      </c>
      <c r="H9" s="7">
        <f>AVERAGE(C9:E9)</f>
        <v>3767.3833333333332</v>
      </c>
      <c r="I9" t="s">
        <v>124</v>
      </c>
      <c r="J9">
        <v>6.9512453521954143E-3</v>
      </c>
    </row>
    <row r="10" spans="1:10" ht="13" thickBot="1" x14ac:dyDescent="0.3">
      <c r="A10" s="11" t="s">
        <v>107</v>
      </c>
      <c r="B10">
        <v>0.1</v>
      </c>
      <c r="C10" s="17">
        <v>35269.800000000003</v>
      </c>
      <c r="D10" s="17">
        <v>36112</v>
      </c>
      <c r="E10" s="17">
        <v>33299.699999999997</v>
      </c>
      <c r="F10" s="1">
        <v>1</v>
      </c>
      <c r="G10" s="1">
        <v>10</v>
      </c>
      <c r="H10" s="7">
        <f>AVERAGE(C10:E10)</f>
        <v>34893.833333333336</v>
      </c>
      <c r="I10" t="s">
        <v>124</v>
      </c>
      <c r="J10">
        <v>4.879934485936923E-2</v>
      </c>
    </row>
    <row r="11" spans="1:10" ht="13" thickBot="1" x14ac:dyDescent="0.3">
      <c r="A11" s="11" t="s">
        <v>107</v>
      </c>
      <c r="B11">
        <v>0.25</v>
      </c>
      <c r="C11" s="17">
        <v>83701.5</v>
      </c>
      <c r="D11" s="17">
        <v>90310.9</v>
      </c>
      <c r="E11" s="17">
        <v>92149.6</v>
      </c>
      <c r="F11" s="1">
        <v>1</v>
      </c>
      <c r="G11" s="1">
        <v>10</v>
      </c>
      <c r="H11" s="7">
        <f>AVERAGE(C11:E11)</f>
        <v>88720.666666666672</v>
      </c>
      <c r="I11" t="s">
        <v>124</v>
      </c>
      <c r="J11">
        <v>0.12116707961516034</v>
      </c>
    </row>
    <row r="12" spans="1:10" ht="13" thickBot="1" x14ac:dyDescent="0.3">
      <c r="A12" s="11" t="s">
        <v>107</v>
      </c>
      <c r="B12">
        <v>0.5</v>
      </c>
      <c r="C12" s="17">
        <v>205133</v>
      </c>
      <c r="D12" s="17">
        <v>221995</v>
      </c>
      <c r="E12" s="17">
        <v>215802</v>
      </c>
      <c r="F12" s="1">
        <v>1</v>
      </c>
      <c r="G12" s="1">
        <v>10</v>
      </c>
      <c r="H12" s="7">
        <f>AVERAGE(C12:E12)</f>
        <v>214310</v>
      </c>
      <c r="I12" t="s">
        <v>124</v>
      </c>
      <c r="J12">
        <v>0.29001623903979612</v>
      </c>
    </row>
    <row r="13" spans="1:10" ht="13" thickBot="1" x14ac:dyDescent="0.3">
      <c r="A13" s="11" t="s">
        <v>107</v>
      </c>
      <c r="B13">
        <v>1</v>
      </c>
      <c r="C13" s="17">
        <v>40031.599999999999</v>
      </c>
      <c r="D13" s="17">
        <v>43187.8</v>
      </c>
      <c r="E13" s="17">
        <v>42001</v>
      </c>
      <c r="F13" s="1">
        <v>1</v>
      </c>
      <c r="G13" s="1">
        <v>100</v>
      </c>
      <c r="H13" s="7">
        <f>AVERAGE(C13:E13)</f>
        <v>41740.133333333331</v>
      </c>
      <c r="I13" t="s">
        <v>124</v>
      </c>
      <c r="J13">
        <v>0.58003884524379656</v>
      </c>
    </row>
    <row r="14" spans="1:10" ht="13" thickBot="1" x14ac:dyDescent="0.3">
      <c r="A14" s="11" t="s">
        <v>107</v>
      </c>
      <c r="B14">
        <v>5</v>
      </c>
      <c r="C14" s="17">
        <v>236484</v>
      </c>
      <c r="D14" s="17">
        <v>259831</v>
      </c>
      <c r="E14" s="17">
        <v>243404</v>
      </c>
      <c r="F14" s="1">
        <v>1</v>
      </c>
      <c r="G14" s="1">
        <v>100</v>
      </c>
      <c r="H14" s="7">
        <f>AVERAGE(C14:E14)</f>
        <v>246573</v>
      </c>
      <c r="I14" t="s">
        <v>124</v>
      </c>
      <c r="J14">
        <v>3.3339237844534821</v>
      </c>
    </row>
    <row r="15" spans="1:10" ht="13" thickBot="1" x14ac:dyDescent="0.3">
      <c r="A15" s="11" t="s">
        <v>107</v>
      </c>
      <c r="B15" s="15">
        <v>25</v>
      </c>
      <c r="C15" s="17">
        <v>221849</v>
      </c>
      <c r="D15" s="17">
        <v>251537</v>
      </c>
      <c r="E15" s="17">
        <v>238218</v>
      </c>
      <c r="F15" s="1">
        <v>1</v>
      </c>
      <c r="G15" s="1">
        <v>500</v>
      </c>
      <c r="H15" s="7">
        <f>AVERAGE(C15:E15)</f>
        <v>237201.33333333334</v>
      </c>
      <c r="I15" t="s">
        <v>124</v>
      </c>
      <c r="J15">
        <v>16.039629894905268</v>
      </c>
    </row>
    <row r="16" spans="1:10" ht="13" thickBot="1" x14ac:dyDescent="0.3">
      <c r="A16" s="11" t="s">
        <v>108</v>
      </c>
      <c r="B16" s="12">
        <v>0</v>
      </c>
      <c r="C16" s="18">
        <v>3506.47</v>
      </c>
      <c r="D16" s="18">
        <v>3055.23</v>
      </c>
      <c r="E16" s="18">
        <v>3130.14</v>
      </c>
      <c r="F16" s="1">
        <v>1</v>
      </c>
      <c r="G16" s="1">
        <v>10</v>
      </c>
      <c r="H16" s="7">
        <f>AVERAGE(C16:E16)</f>
        <v>3230.6133333333332</v>
      </c>
      <c r="I16" t="s">
        <v>124</v>
      </c>
      <c r="J16">
        <v>6.2295824458098257E-3</v>
      </c>
    </row>
    <row r="17" spans="1:10" ht="13" thickBot="1" x14ac:dyDescent="0.3">
      <c r="A17" s="11" t="s">
        <v>108</v>
      </c>
      <c r="B17">
        <v>0.1</v>
      </c>
      <c r="C17" s="18">
        <v>26495.200000000001</v>
      </c>
      <c r="D17" s="18">
        <v>23853.200000000001</v>
      </c>
      <c r="E17" s="18">
        <v>24646.9</v>
      </c>
      <c r="F17" s="1">
        <v>1</v>
      </c>
      <c r="G17" s="1">
        <v>10</v>
      </c>
      <c r="H17" s="7">
        <f>AVERAGE(C17:E17)</f>
        <v>24998.433333333334</v>
      </c>
      <c r="I17" t="s">
        <v>124</v>
      </c>
      <c r="J17">
        <v>3.5495428612470278E-2</v>
      </c>
    </row>
    <row r="18" spans="1:10" ht="13" thickBot="1" x14ac:dyDescent="0.3">
      <c r="A18" s="11" t="s">
        <v>108</v>
      </c>
      <c r="B18">
        <v>0.25</v>
      </c>
      <c r="C18" s="18">
        <v>67308.3</v>
      </c>
      <c r="D18" s="18">
        <v>56092.7</v>
      </c>
      <c r="E18" s="18">
        <v>60220.3</v>
      </c>
      <c r="F18" s="1">
        <v>1</v>
      </c>
      <c r="G18" s="1">
        <v>10</v>
      </c>
      <c r="H18" s="7">
        <f>AVERAGE(C18:E18)</f>
        <v>61207.1</v>
      </c>
      <c r="I18" t="s">
        <v>124</v>
      </c>
      <c r="J18">
        <v>8.4176337797062628E-2</v>
      </c>
    </row>
    <row r="19" spans="1:10" ht="13" thickBot="1" x14ac:dyDescent="0.3">
      <c r="A19" s="11" t="s">
        <v>108</v>
      </c>
      <c r="B19">
        <v>0.5</v>
      </c>
      <c r="C19" s="18">
        <v>178233</v>
      </c>
      <c r="D19" s="18">
        <v>144859</v>
      </c>
      <c r="E19" s="18">
        <v>156539</v>
      </c>
      <c r="F19" s="1">
        <v>1</v>
      </c>
      <c r="G19" s="1">
        <v>10</v>
      </c>
      <c r="H19" s="7">
        <f>AVERAGE(C19:E19)</f>
        <v>159877</v>
      </c>
      <c r="I19" t="s">
        <v>124</v>
      </c>
      <c r="J19">
        <v>0.21683354070850577</v>
      </c>
    </row>
    <row r="20" spans="1:10" ht="13" thickBot="1" x14ac:dyDescent="0.3">
      <c r="A20" s="11" t="s">
        <v>108</v>
      </c>
      <c r="B20">
        <v>1</v>
      </c>
      <c r="C20" s="18">
        <v>39507</v>
      </c>
      <c r="D20" s="18">
        <v>37045.800000000003</v>
      </c>
      <c r="E20" s="18">
        <v>39078.199999999997</v>
      </c>
      <c r="F20" s="1">
        <v>1</v>
      </c>
      <c r="G20" s="1">
        <v>100</v>
      </c>
      <c r="H20" s="7">
        <f>AVERAGE(C20:E20)</f>
        <v>38543.666666666664</v>
      </c>
      <c r="I20" t="s">
        <v>124</v>
      </c>
      <c r="J20">
        <v>0.53706380146654908</v>
      </c>
    </row>
    <row r="21" spans="1:10" ht="13" thickBot="1" x14ac:dyDescent="0.3">
      <c r="A21" s="11" t="s">
        <v>108</v>
      </c>
      <c r="B21">
        <v>5</v>
      </c>
      <c r="C21" s="18">
        <v>251940</v>
      </c>
      <c r="D21" s="18">
        <v>235914</v>
      </c>
      <c r="E21" s="18">
        <v>264529</v>
      </c>
      <c r="F21" s="1">
        <v>1</v>
      </c>
      <c r="G21" s="1">
        <v>100</v>
      </c>
      <c r="H21" s="7">
        <f>AVERAGE(C21:E21)</f>
        <v>250794.33333333334</v>
      </c>
      <c r="I21" t="s">
        <v>124</v>
      </c>
      <c r="J21">
        <v>3.3906776954797273</v>
      </c>
    </row>
    <row r="22" spans="1:10" ht="13" thickBot="1" x14ac:dyDescent="0.3">
      <c r="A22" s="11" t="s">
        <v>108</v>
      </c>
      <c r="B22" s="15">
        <v>25</v>
      </c>
      <c r="C22" s="18">
        <v>243850</v>
      </c>
      <c r="D22" s="18">
        <v>236678</v>
      </c>
      <c r="E22" s="18">
        <v>261463</v>
      </c>
      <c r="F22" s="1">
        <v>1</v>
      </c>
      <c r="G22" s="1">
        <v>500</v>
      </c>
      <c r="H22" s="7">
        <f>AVERAGE(C22:E22)</f>
        <v>247330.33333333334</v>
      </c>
      <c r="I22" t="s">
        <v>124</v>
      </c>
      <c r="J22">
        <v>16.720528937211991</v>
      </c>
    </row>
    <row r="23" spans="1:10" ht="13" thickBot="1" x14ac:dyDescent="0.3">
      <c r="A23" s="11" t="s">
        <v>107</v>
      </c>
      <c r="B23" s="12">
        <v>0</v>
      </c>
      <c r="C23" s="19">
        <v>3696.65</v>
      </c>
      <c r="D23" s="19">
        <v>3658.31</v>
      </c>
      <c r="E23" s="19">
        <v>3946.35</v>
      </c>
      <c r="F23" s="1">
        <v>2</v>
      </c>
      <c r="G23" s="1">
        <v>10</v>
      </c>
      <c r="H23" s="7">
        <f>AVERAGE(C23:E23)</f>
        <v>3767.103333333333</v>
      </c>
      <c r="I23" t="s">
        <v>124</v>
      </c>
      <c r="J23">
        <v>6.9508689049018095E-3</v>
      </c>
    </row>
    <row r="24" spans="1:10" ht="13" thickBot="1" x14ac:dyDescent="0.3">
      <c r="A24" s="11" t="s">
        <v>107</v>
      </c>
      <c r="B24">
        <v>0.1</v>
      </c>
      <c r="C24" s="19">
        <v>21594.7</v>
      </c>
      <c r="D24" s="19">
        <v>20274.3</v>
      </c>
      <c r="E24" s="19">
        <v>17665.3</v>
      </c>
      <c r="F24" s="1">
        <v>2</v>
      </c>
      <c r="G24" s="1">
        <v>10</v>
      </c>
      <c r="H24" s="7">
        <f>AVERAGE(C24:E24)</f>
        <v>19844.766666666666</v>
      </c>
      <c r="I24" t="s">
        <v>124</v>
      </c>
      <c r="J24">
        <v>2.8566557652451668E-2</v>
      </c>
    </row>
    <row r="25" spans="1:10" ht="13" thickBot="1" x14ac:dyDescent="0.3">
      <c r="A25" s="11" t="s">
        <v>107</v>
      </c>
      <c r="B25">
        <v>0.25</v>
      </c>
      <c r="C25" s="19">
        <v>51056.1</v>
      </c>
      <c r="D25" s="19">
        <v>45529.4</v>
      </c>
      <c r="E25" s="19">
        <v>37217.199999999997</v>
      </c>
      <c r="F25" s="1">
        <v>2</v>
      </c>
      <c r="G25" s="1">
        <v>10</v>
      </c>
      <c r="H25" s="7">
        <f>AVERAGE(C25:E25)</f>
        <v>44600.9</v>
      </c>
      <c r="I25" t="s">
        <v>124</v>
      </c>
      <c r="J25">
        <v>6.185005548616531E-2</v>
      </c>
    </row>
    <row r="26" spans="1:10" ht="13" thickBot="1" x14ac:dyDescent="0.3">
      <c r="A26" s="11" t="s">
        <v>107</v>
      </c>
      <c r="B26">
        <v>0.5</v>
      </c>
      <c r="C26" s="19">
        <v>142789</v>
      </c>
      <c r="D26" s="19">
        <v>130558</v>
      </c>
      <c r="E26" s="19">
        <v>119742</v>
      </c>
      <c r="F26" s="1">
        <v>2</v>
      </c>
      <c r="G26" s="1">
        <v>10</v>
      </c>
      <c r="H26" s="7">
        <f>AVERAGE(C26:E26)</f>
        <v>131029.66666666667</v>
      </c>
      <c r="I26" t="s">
        <v>124</v>
      </c>
      <c r="J26">
        <v>0.17804961013338572</v>
      </c>
    </row>
    <row r="27" spans="1:10" ht="13" thickBot="1" x14ac:dyDescent="0.3">
      <c r="A27" s="11" t="s">
        <v>107</v>
      </c>
      <c r="B27">
        <v>1</v>
      </c>
      <c r="C27" s="19">
        <v>36432.1</v>
      </c>
      <c r="D27" s="19">
        <v>37364.699999999997</v>
      </c>
      <c r="E27" s="19">
        <v>35199.599999999999</v>
      </c>
      <c r="F27" s="1">
        <v>2</v>
      </c>
      <c r="G27" s="1">
        <v>100</v>
      </c>
      <c r="H27" s="7">
        <f>AVERAGE(C27:E27)</f>
        <v>36332.133333333331</v>
      </c>
      <c r="I27" t="s">
        <v>124</v>
      </c>
      <c r="J27">
        <v>0.50733073939337159</v>
      </c>
    </row>
    <row r="28" spans="1:10" ht="13" thickBot="1" x14ac:dyDescent="0.3">
      <c r="A28" s="11" t="s">
        <v>107</v>
      </c>
      <c r="B28">
        <v>5</v>
      </c>
      <c r="C28" s="19">
        <v>239919</v>
      </c>
      <c r="D28" s="19">
        <v>259412</v>
      </c>
      <c r="E28" s="19">
        <v>255883</v>
      </c>
      <c r="F28" s="1">
        <v>2</v>
      </c>
      <c r="G28" s="1">
        <v>100</v>
      </c>
      <c r="H28" s="7">
        <f>AVERAGE(C28:E28)</f>
        <v>251738</v>
      </c>
      <c r="I28" t="s">
        <v>124</v>
      </c>
      <c r="J28">
        <v>3.4033648655772701</v>
      </c>
    </row>
    <row r="29" spans="1:10" ht="13" thickBot="1" x14ac:dyDescent="0.3">
      <c r="A29" s="11" t="s">
        <v>107</v>
      </c>
      <c r="B29" s="15">
        <v>25</v>
      </c>
      <c r="C29" s="19">
        <v>241581</v>
      </c>
      <c r="D29" s="19">
        <v>253620</v>
      </c>
      <c r="E29" s="19">
        <v>252093</v>
      </c>
      <c r="F29" s="1">
        <v>2</v>
      </c>
      <c r="G29" s="1">
        <v>500</v>
      </c>
      <c r="H29" s="7">
        <f>AVERAGE(C29:E29)</f>
        <v>249098</v>
      </c>
      <c r="I29" t="s">
        <v>124</v>
      </c>
      <c r="J29">
        <v>16.839356318044338</v>
      </c>
    </row>
    <row r="30" spans="1:10" ht="13" thickBot="1" x14ac:dyDescent="0.3">
      <c r="A30" s="11" t="s">
        <v>108</v>
      </c>
      <c r="B30" s="12">
        <v>0</v>
      </c>
      <c r="C30" s="20">
        <v>3204.08</v>
      </c>
      <c r="D30" s="20">
        <v>3210.74</v>
      </c>
      <c r="E30" s="20">
        <v>2861.96</v>
      </c>
      <c r="F30" s="1">
        <v>2</v>
      </c>
      <c r="G30" s="1">
        <v>10</v>
      </c>
      <c r="H30" s="7">
        <f>AVERAGE(C30:E30)</f>
        <v>3092.2599999999998</v>
      </c>
      <c r="I30" t="s">
        <v>124</v>
      </c>
      <c r="J30">
        <v>6.0435726676153169E-3</v>
      </c>
    </row>
    <row r="31" spans="1:10" ht="13" thickBot="1" x14ac:dyDescent="0.3">
      <c r="A31" s="11" t="s">
        <v>108</v>
      </c>
      <c r="B31">
        <v>0.1</v>
      </c>
      <c r="C31" s="20">
        <v>14926.3</v>
      </c>
      <c r="D31" s="20">
        <v>12049.2</v>
      </c>
      <c r="E31" s="20">
        <v>11553.4</v>
      </c>
      <c r="F31" s="1">
        <v>2</v>
      </c>
      <c r="G31" s="1">
        <v>10</v>
      </c>
      <c r="H31" s="7">
        <f>AVERAGE(C31:E31)</f>
        <v>12842.966666666667</v>
      </c>
      <c r="I31" t="s">
        <v>124</v>
      </c>
      <c r="J31">
        <v>1.9152955294028856E-2</v>
      </c>
    </row>
    <row r="32" spans="1:10" ht="13" thickBot="1" x14ac:dyDescent="0.3">
      <c r="A32" s="11" t="s">
        <v>108</v>
      </c>
      <c r="B32">
        <v>0.25</v>
      </c>
      <c r="C32" s="20">
        <v>30515.5</v>
      </c>
      <c r="D32" s="20">
        <v>21179.5</v>
      </c>
      <c r="E32" s="20">
        <v>21816.400000000001</v>
      </c>
      <c r="F32" s="1">
        <v>2</v>
      </c>
      <c r="G32" s="1">
        <v>10</v>
      </c>
      <c r="H32" s="7">
        <f>AVERAGE(C32:E32)</f>
        <v>24503.8</v>
      </c>
      <c r="I32" t="s">
        <v>124</v>
      </c>
      <c r="J32">
        <v>3.4830416542256736E-2</v>
      </c>
    </row>
    <row r="33" spans="1:10" ht="13" thickBot="1" x14ac:dyDescent="0.3">
      <c r="A33" s="11" t="s">
        <v>108</v>
      </c>
      <c r="B33">
        <v>0.5</v>
      </c>
      <c r="C33" s="20">
        <v>75727</v>
      </c>
      <c r="D33" s="20">
        <v>59554</v>
      </c>
      <c r="E33" s="20">
        <v>50120.7</v>
      </c>
      <c r="F33" s="1">
        <v>2</v>
      </c>
      <c r="G33" s="1">
        <v>10</v>
      </c>
      <c r="H33" s="7">
        <f>AVERAGE(C33:E33)</f>
        <v>61800.566666666673</v>
      </c>
      <c r="I33" t="s">
        <v>124</v>
      </c>
      <c r="J33">
        <v>8.4974226798887678E-2</v>
      </c>
    </row>
    <row r="34" spans="1:10" ht="13" thickBot="1" x14ac:dyDescent="0.3">
      <c r="A34" s="11" t="s">
        <v>108</v>
      </c>
      <c r="B34">
        <v>1</v>
      </c>
      <c r="C34" s="20">
        <v>29976</v>
      </c>
      <c r="D34" s="20">
        <v>26186.2</v>
      </c>
      <c r="E34" s="20">
        <v>21193.7</v>
      </c>
      <c r="F34" s="1">
        <v>2</v>
      </c>
      <c r="G34" s="1">
        <v>100</v>
      </c>
      <c r="H34" s="7">
        <f>AVERAGE(C34:E34)</f>
        <v>25785.3</v>
      </c>
      <c r="I34" t="s">
        <v>124</v>
      </c>
      <c r="J34">
        <v>0.36553335137806281</v>
      </c>
    </row>
    <row r="35" spans="1:10" ht="13" thickBot="1" x14ac:dyDescent="0.3">
      <c r="A35" s="11" t="s">
        <v>108</v>
      </c>
      <c r="B35">
        <v>5</v>
      </c>
      <c r="C35" s="20">
        <v>238833</v>
      </c>
      <c r="D35" s="20">
        <v>224563</v>
      </c>
      <c r="E35" s="20">
        <v>240582</v>
      </c>
      <c r="F35" s="1">
        <v>2</v>
      </c>
      <c r="G35" s="1">
        <v>100</v>
      </c>
      <c r="H35" s="7">
        <f>AVERAGE(C35:E35)</f>
        <v>234659.33333333334</v>
      </c>
      <c r="I35" t="s">
        <v>124</v>
      </c>
      <c r="J35">
        <v>3.1737499425402658</v>
      </c>
    </row>
    <row r="36" spans="1:10" ht="13" thickBot="1" x14ac:dyDescent="0.3">
      <c r="A36" s="11" t="s">
        <v>108</v>
      </c>
      <c r="B36" s="15">
        <v>25</v>
      </c>
      <c r="C36" s="20">
        <v>253413</v>
      </c>
      <c r="D36" s="20">
        <v>250863</v>
      </c>
      <c r="E36" s="20">
        <v>262214</v>
      </c>
      <c r="F36" s="1">
        <v>2</v>
      </c>
      <c r="G36" s="1">
        <v>500</v>
      </c>
      <c r="H36" s="7">
        <f>AVERAGE(C36:E36)</f>
        <v>255496.66666666666</v>
      </c>
      <c r="I36" t="s">
        <v>124</v>
      </c>
      <c r="J36">
        <v>17.26949216614122</v>
      </c>
    </row>
    <row r="37" spans="1:10" ht="13" thickBot="1" x14ac:dyDescent="0.3">
      <c r="A37" s="11" t="s">
        <v>107</v>
      </c>
      <c r="B37" s="12">
        <v>0</v>
      </c>
      <c r="C37" s="21">
        <v>3965.27</v>
      </c>
      <c r="D37" s="21">
        <v>3775.19</v>
      </c>
      <c r="E37" s="21">
        <v>4000.28</v>
      </c>
      <c r="F37" s="1">
        <v>3</v>
      </c>
      <c r="G37" s="1">
        <v>10</v>
      </c>
      <c r="H37" s="7">
        <f>AVERAGE(C37:E37)</f>
        <v>3913.58</v>
      </c>
      <c r="I37" t="s">
        <v>124</v>
      </c>
      <c r="J37">
        <v>7.147800136126245E-3</v>
      </c>
    </row>
    <row r="38" spans="1:10" ht="13" thickBot="1" x14ac:dyDescent="0.3">
      <c r="A38" s="11" t="s">
        <v>107</v>
      </c>
      <c r="B38">
        <v>0.1</v>
      </c>
      <c r="C38" s="21">
        <v>8458.7800000000007</v>
      </c>
      <c r="D38" s="21">
        <v>8238.51</v>
      </c>
      <c r="E38" s="21">
        <v>7108.64</v>
      </c>
      <c r="F38" s="1">
        <v>3</v>
      </c>
      <c r="G38" s="1">
        <v>10</v>
      </c>
      <c r="H38" s="7">
        <f>AVERAGE(C38:E38)</f>
        <v>7935.31</v>
      </c>
      <c r="I38" t="s">
        <v>124</v>
      </c>
      <c r="J38">
        <v>1.2554833615080196E-2</v>
      </c>
    </row>
    <row r="39" spans="1:10" ht="13" thickBot="1" x14ac:dyDescent="0.3">
      <c r="A39" s="11" t="s">
        <v>107</v>
      </c>
      <c r="B39">
        <v>0.25</v>
      </c>
      <c r="C39" s="21">
        <v>11600.8</v>
      </c>
      <c r="D39" s="21">
        <v>11321.6</v>
      </c>
      <c r="E39" s="21">
        <v>9836.83</v>
      </c>
      <c r="F39" s="1">
        <v>3</v>
      </c>
      <c r="G39" s="1">
        <v>10</v>
      </c>
      <c r="H39" s="7">
        <f>AVERAGE(C39:E39)</f>
        <v>10919.743333333334</v>
      </c>
      <c r="I39" t="s">
        <v>124</v>
      </c>
      <c r="J39">
        <v>1.6567268798207722E-2</v>
      </c>
    </row>
    <row r="40" spans="1:10" ht="13" thickBot="1" x14ac:dyDescent="0.3">
      <c r="A40" s="11" t="s">
        <v>107</v>
      </c>
      <c r="B40">
        <v>0.5</v>
      </c>
      <c r="C40" s="21">
        <v>24954.1</v>
      </c>
      <c r="D40" s="21">
        <v>22882.400000000001</v>
      </c>
      <c r="E40" s="21">
        <v>18436</v>
      </c>
      <c r="F40" s="1">
        <v>3</v>
      </c>
      <c r="G40" s="1">
        <v>10</v>
      </c>
      <c r="H40" s="7">
        <f>AVERAGE(C40:E40)</f>
        <v>22090.833333333332</v>
      </c>
      <c r="I40" t="s">
        <v>124</v>
      </c>
      <c r="J40">
        <v>3.1586292359313928E-2</v>
      </c>
    </row>
    <row r="41" spans="1:10" ht="13" thickBot="1" x14ac:dyDescent="0.3">
      <c r="A41" s="11" t="s">
        <v>107</v>
      </c>
      <c r="B41">
        <v>1</v>
      </c>
      <c r="C41" s="21">
        <v>18904.400000000001</v>
      </c>
      <c r="D41" s="21">
        <v>14122.5</v>
      </c>
      <c r="E41" s="21">
        <v>11014.7</v>
      </c>
      <c r="F41" s="1">
        <v>3</v>
      </c>
      <c r="G41" s="1">
        <v>100</v>
      </c>
      <c r="H41" s="7">
        <f>AVERAGE(C41:E41)</f>
        <v>14680.533333333335</v>
      </c>
      <c r="I41" t="s">
        <v>124</v>
      </c>
      <c r="J41">
        <v>0.21623480288614888</v>
      </c>
    </row>
    <row r="42" spans="1:10" ht="13" thickBot="1" x14ac:dyDescent="0.3">
      <c r="A42" s="11" t="s">
        <v>107</v>
      </c>
      <c r="B42">
        <v>5</v>
      </c>
      <c r="C42" s="21">
        <v>214077</v>
      </c>
      <c r="D42" s="21">
        <v>245053</v>
      </c>
      <c r="E42" s="21">
        <v>222571</v>
      </c>
      <c r="F42" s="1">
        <v>3</v>
      </c>
      <c r="G42" s="1">
        <v>100</v>
      </c>
      <c r="H42" s="7">
        <f>AVERAGE(C42:E42)</f>
        <v>227233.66666666666</v>
      </c>
      <c r="I42" t="s">
        <v>124</v>
      </c>
      <c r="J42">
        <v>3.0739152239733327</v>
      </c>
    </row>
    <row r="43" spans="1:10" ht="13" thickBot="1" x14ac:dyDescent="0.3">
      <c r="A43" s="11" t="s">
        <v>107</v>
      </c>
      <c r="B43" s="15">
        <v>25</v>
      </c>
      <c r="C43" s="21">
        <v>265359</v>
      </c>
      <c r="D43" s="21">
        <v>288860</v>
      </c>
      <c r="E43" s="21">
        <v>281503</v>
      </c>
      <c r="F43" s="1">
        <v>3</v>
      </c>
      <c r="G43" s="1">
        <v>500</v>
      </c>
      <c r="H43" s="7">
        <f>AVERAGE(C43:E43)</f>
        <v>278574</v>
      </c>
      <c r="I43" t="s">
        <v>124</v>
      </c>
      <c r="J43">
        <v>18.820813537022822</v>
      </c>
    </row>
    <row r="44" spans="1:10" ht="13" thickBot="1" x14ac:dyDescent="0.3">
      <c r="A44" s="11" t="s">
        <v>108</v>
      </c>
      <c r="B44" s="12">
        <v>0</v>
      </c>
      <c r="C44" s="22">
        <v>3398.8</v>
      </c>
      <c r="D44" s="22">
        <v>2653.58</v>
      </c>
      <c r="E44" s="22">
        <v>2504.27</v>
      </c>
      <c r="F44" s="1">
        <v>3</v>
      </c>
      <c r="G44" s="1">
        <v>10</v>
      </c>
      <c r="H44" s="7">
        <f>AVERAGE(C44:E44)</f>
        <v>2852.2166666666667</v>
      </c>
      <c r="I44" t="s">
        <v>124</v>
      </c>
      <c r="J44">
        <v>5.7208452991114548E-3</v>
      </c>
    </row>
    <row r="45" spans="1:10" ht="13" thickBot="1" x14ac:dyDescent="0.3">
      <c r="A45" s="11" t="s">
        <v>108</v>
      </c>
      <c r="B45">
        <v>0.1</v>
      </c>
      <c r="C45" s="22">
        <v>5166.93</v>
      </c>
      <c r="D45" s="22">
        <v>4823.84</v>
      </c>
      <c r="E45" s="22">
        <v>4928.93</v>
      </c>
      <c r="F45" s="1">
        <v>3</v>
      </c>
      <c r="G45" s="1">
        <v>10</v>
      </c>
      <c r="H45" s="7">
        <f>AVERAGE(C45:E45)</f>
        <v>4973.2333333333336</v>
      </c>
      <c r="I45" t="s">
        <v>124</v>
      </c>
      <c r="J45">
        <v>8.5724559557408108E-3</v>
      </c>
    </row>
    <row r="46" spans="1:10" ht="13" thickBot="1" x14ac:dyDescent="0.3">
      <c r="A46" s="11" t="s">
        <v>108</v>
      </c>
      <c r="B46">
        <v>0.25</v>
      </c>
      <c r="C46" s="22">
        <v>8143.85</v>
      </c>
      <c r="D46" s="22">
        <v>6786.54</v>
      </c>
      <c r="E46" s="22">
        <v>7349.17</v>
      </c>
      <c r="F46" s="1">
        <v>3</v>
      </c>
      <c r="G46" s="1">
        <v>10</v>
      </c>
      <c r="H46" s="7">
        <f>AVERAGE(C46:E46)</f>
        <v>7426.5199999999995</v>
      </c>
      <c r="I46" t="s">
        <v>124</v>
      </c>
      <c r="J46">
        <v>1.1870788548962634E-2</v>
      </c>
    </row>
    <row r="47" spans="1:10" ht="13" thickBot="1" x14ac:dyDescent="0.3">
      <c r="A47" s="11" t="s">
        <v>108</v>
      </c>
      <c r="B47">
        <v>0.5</v>
      </c>
      <c r="C47" s="22">
        <v>11164.9</v>
      </c>
      <c r="D47" s="22">
        <v>9290.52</v>
      </c>
      <c r="E47" s="22">
        <v>11260.4</v>
      </c>
      <c r="F47" s="1">
        <v>3</v>
      </c>
      <c r="G47" s="1">
        <v>10</v>
      </c>
      <c r="H47" s="7">
        <f>AVERAGE(C47:E47)</f>
        <v>10571.94</v>
      </c>
      <c r="I47" t="s">
        <v>124</v>
      </c>
      <c r="J47">
        <v>1.6099662999851012E-2</v>
      </c>
    </row>
    <row r="48" spans="1:10" ht="13" thickBot="1" x14ac:dyDescent="0.3">
      <c r="A48" s="11" t="s">
        <v>108</v>
      </c>
      <c r="B48">
        <v>1</v>
      </c>
      <c r="C48" s="22">
        <v>11233.2</v>
      </c>
      <c r="D48" s="22">
        <v>6305.79</v>
      </c>
      <c r="E48" s="22">
        <v>7175.69</v>
      </c>
      <c r="F48" s="1">
        <v>3</v>
      </c>
      <c r="G48" s="1">
        <v>100</v>
      </c>
      <c r="H48" s="7">
        <f>AVERAGE(C48:E48)</f>
        <v>8238.2266666666674</v>
      </c>
      <c r="I48" t="s">
        <v>124</v>
      </c>
      <c r="J48">
        <v>0.12962091327059816</v>
      </c>
    </row>
    <row r="49" spans="1:10" ht="13" thickBot="1" x14ac:dyDescent="0.3">
      <c r="A49" s="11" t="s">
        <v>108</v>
      </c>
      <c r="B49">
        <v>5</v>
      </c>
      <c r="C49" s="22">
        <v>164295</v>
      </c>
      <c r="D49" s="22">
        <v>153619</v>
      </c>
      <c r="E49" s="22">
        <v>185782</v>
      </c>
      <c r="F49" s="1">
        <v>3</v>
      </c>
      <c r="G49" s="1">
        <v>100</v>
      </c>
      <c r="H49" s="7">
        <f>AVERAGE(C49:E49)</f>
        <v>167898.66666666666</v>
      </c>
      <c r="I49" t="s">
        <v>124</v>
      </c>
      <c r="J49">
        <v>2.2761830751872814</v>
      </c>
    </row>
    <row r="50" spans="1:10" ht="13" thickBot="1" x14ac:dyDescent="0.3">
      <c r="A50" s="11" t="s">
        <v>108</v>
      </c>
      <c r="B50" s="15">
        <v>25</v>
      </c>
      <c r="C50" s="22">
        <v>272578</v>
      </c>
      <c r="D50" s="22">
        <v>262584</v>
      </c>
      <c r="E50" s="22">
        <v>281316</v>
      </c>
      <c r="F50" s="1">
        <v>3</v>
      </c>
      <c r="G50" s="1">
        <v>500</v>
      </c>
      <c r="H50" s="7">
        <f>AVERAGE(C50:E50)</f>
        <v>272159.33333333331</v>
      </c>
      <c r="I50" t="s">
        <v>124</v>
      </c>
      <c r="J50">
        <v>18.389602125229928</v>
      </c>
    </row>
    <row r="51" spans="1:10" x14ac:dyDescent="0.25">
      <c r="A51" t="s">
        <v>122</v>
      </c>
      <c r="B51">
        <v>0</v>
      </c>
      <c r="C51">
        <v>7432.04</v>
      </c>
      <c r="D51">
        <v>7579.49</v>
      </c>
      <c r="E51">
        <v>9372.74</v>
      </c>
      <c r="F51" s="1">
        <v>0</v>
      </c>
      <c r="G51">
        <v>10</v>
      </c>
      <c r="H51">
        <v>8128.0899999999992</v>
      </c>
      <c r="I51" t="s">
        <v>125</v>
      </c>
      <c r="J51">
        <v>1.2814017576726736E-2</v>
      </c>
    </row>
    <row r="52" spans="1:10" x14ac:dyDescent="0.25">
      <c r="A52" t="s">
        <v>122</v>
      </c>
      <c r="B52">
        <v>0.1</v>
      </c>
      <c r="C52">
        <v>44984</v>
      </c>
      <c r="D52">
        <v>49448.4</v>
      </c>
      <c r="E52">
        <v>50249.7</v>
      </c>
      <c r="F52" s="1">
        <v>0</v>
      </c>
      <c r="G52">
        <v>10</v>
      </c>
      <c r="H52">
        <v>48227.366666666661</v>
      </c>
      <c r="I52" t="s">
        <v>125</v>
      </c>
      <c r="J52">
        <v>6.6725675350496616E-2</v>
      </c>
    </row>
    <row r="53" spans="1:10" x14ac:dyDescent="0.25">
      <c r="A53" t="s">
        <v>122</v>
      </c>
      <c r="B53">
        <v>0.25</v>
      </c>
      <c r="C53">
        <v>130368</v>
      </c>
      <c r="D53">
        <v>142043</v>
      </c>
      <c r="E53">
        <v>136004</v>
      </c>
      <c r="F53" s="1">
        <v>0</v>
      </c>
      <c r="G53">
        <v>10</v>
      </c>
      <c r="H53">
        <v>136138.33333333334</v>
      </c>
      <c r="I53" t="s">
        <v>125</v>
      </c>
      <c r="J53">
        <v>0.18491798063550369</v>
      </c>
    </row>
    <row r="54" spans="1:10" x14ac:dyDescent="0.25">
      <c r="A54" t="s">
        <v>122</v>
      </c>
      <c r="B54">
        <v>0.5</v>
      </c>
      <c r="C54">
        <v>359918</v>
      </c>
      <c r="D54">
        <v>386059</v>
      </c>
      <c r="E54">
        <v>370685</v>
      </c>
      <c r="F54" s="1">
        <v>0</v>
      </c>
      <c r="G54">
        <v>10</v>
      </c>
      <c r="H54">
        <v>372220.66666666669</v>
      </c>
      <c r="I54" t="s">
        <v>125</v>
      </c>
      <c r="J54">
        <v>0.5023199643894849</v>
      </c>
    </row>
    <row r="55" spans="1:10" x14ac:dyDescent="0.25">
      <c r="A55" t="s">
        <v>122</v>
      </c>
      <c r="B55">
        <v>1</v>
      </c>
      <c r="C55">
        <v>53474.6</v>
      </c>
      <c r="D55">
        <v>56217.9</v>
      </c>
      <c r="E55">
        <v>53902</v>
      </c>
      <c r="F55" s="1">
        <v>0</v>
      </c>
      <c r="G55">
        <v>100</v>
      </c>
      <c r="H55">
        <v>54531.5</v>
      </c>
      <c r="I55" t="s">
        <v>125</v>
      </c>
      <c r="J55">
        <v>0.75201296535688789</v>
      </c>
    </row>
    <row r="56" spans="1:10" x14ac:dyDescent="0.25">
      <c r="A56" t="s">
        <v>122</v>
      </c>
      <c r="B56">
        <v>5</v>
      </c>
      <c r="C56">
        <v>360795</v>
      </c>
      <c r="D56">
        <v>359995</v>
      </c>
      <c r="E56">
        <v>349219</v>
      </c>
      <c r="F56" s="1">
        <v>0</v>
      </c>
      <c r="G56">
        <v>100</v>
      </c>
      <c r="H56">
        <v>356669.66666666669</v>
      </c>
      <c r="I56" t="s">
        <v>125</v>
      </c>
      <c r="J56">
        <v>4.8141235059362772</v>
      </c>
    </row>
    <row r="57" spans="1:10" x14ac:dyDescent="0.25">
      <c r="A57" t="s">
        <v>122</v>
      </c>
      <c r="B57">
        <v>25</v>
      </c>
      <c r="C57">
        <v>300711</v>
      </c>
      <c r="D57">
        <v>299128</v>
      </c>
      <c r="E57">
        <v>287805</v>
      </c>
      <c r="F57" s="1">
        <v>0</v>
      </c>
      <c r="G57">
        <v>500</v>
      </c>
      <c r="H57">
        <v>295881.33333333331</v>
      </c>
      <c r="I57" t="s">
        <v>125</v>
      </c>
      <c r="J57">
        <v>19.98425975003002</v>
      </c>
    </row>
    <row r="58" spans="1:10" x14ac:dyDescent="0.25">
      <c r="A58" t="s">
        <v>107</v>
      </c>
      <c r="B58">
        <v>0</v>
      </c>
      <c r="C58">
        <v>5012.13</v>
      </c>
      <c r="D58">
        <v>5291.8</v>
      </c>
      <c r="E58">
        <v>5221.71</v>
      </c>
      <c r="F58" s="1">
        <v>1</v>
      </c>
      <c r="G58">
        <v>10</v>
      </c>
      <c r="H58">
        <v>5175.2133333333331</v>
      </c>
      <c r="I58" t="s">
        <v>125</v>
      </c>
      <c r="J58">
        <v>8.8440088998914899E-3</v>
      </c>
    </row>
    <row r="59" spans="1:10" x14ac:dyDescent="0.25">
      <c r="A59" t="s">
        <v>107</v>
      </c>
      <c r="B59">
        <v>0.1</v>
      </c>
      <c r="C59">
        <v>18727.099999999999</v>
      </c>
      <c r="D59">
        <v>19603.2</v>
      </c>
      <c r="E59">
        <v>19529.5</v>
      </c>
      <c r="F59" s="1">
        <v>1</v>
      </c>
      <c r="G59">
        <v>10</v>
      </c>
      <c r="H59">
        <v>19286.600000000002</v>
      </c>
      <c r="I59" t="s">
        <v>125</v>
      </c>
      <c r="J59">
        <v>2.7816127898713155E-2</v>
      </c>
    </row>
    <row r="60" spans="1:10" x14ac:dyDescent="0.25">
      <c r="A60" t="s">
        <v>107</v>
      </c>
      <c r="B60">
        <v>0.25</v>
      </c>
      <c r="C60">
        <v>51771.3</v>
      </c>
      <c r="D60">
        <v>55582.3</v>
      </c>
      <c r="E60">
        <v>54305.1</v>
      </c>
      <c r="F60" s="1">
        <v>1</v>
      </c>
      <c r="G60">
        <v>10</v>
      </c>
      <c r="H60">
        <v>53886.233333333337</v>
      </c>
      <c r="I60" t="s">
        <v>125</v>
      </c>
      <c r="J60">
        <v>7.4333764784546952E-2</v>
      </c>
    </row>
    <row r="61" spans="1:10" x14ac:dyDescent="0.25">
      <c r="A61" t="s">
        <v>107</v>
      </c>
      <c r="B61">
        <v>0.5</v>
      </c>
      <c r="C61">
        <v>171230</v>
      </c>
      <c r="D61">
        <v>187334</v>
      </c>
      <c r="E61">
        <v>173914</v>
      </c>
      <c r="F61" s="1">
        <v>1</v>
      </c>
      <c r="G61">
        <v>10</v>
      </c>
      <c r="H61">
        <v>177492.66666666666</v>
      </c>
      <c r="I61" t="s">
        <v>125</v>
      </c>
      <c r="J61">
        <v>0.24051700514315449</v>
      </c>
    </row>
    <row r="62" spans="1:10" x14ac:dyDescent="0.25">
      <c r="A62" t="s">
        <v>107</v>
      </c>
      <c r="B62">
        <v>1</v>
      </c>
      <c r="C62">
        <v>32737.1</v>
      </c>
      <c r="D62">
        <v>35057.199999999997</v>
      </c>
      <c r="E62">
        <v>35247.199999999997</v>
      </c>
      <c r="F62" s="1">
        <v>1</v>
      </c>
      <c r="G62">
        <v>100</v>
      </c>
      <c r="H62">
        <v>34347.166666666664</v>
      </c>
      <c r="I62" t="s">
        <v>125</v>
      </c>
      <c r="J62">
        <v>0.48064376333760889</v>
      </c>
    </row>
    <row r="63" spans="1:10" x14ac:dyDescent="0.25">
      <c r="A63" t="s">
        <v>107</v>
      </c>
      <c r="B63">
        <v>5</v>
      </c>
      <c r="C63">
        <v>242867</v>
      </c>
      <c r="D63">
        <v>263019</v>
      </c>
      <c r="E63">
        <v>257135</v>
      </c>
      <c r="F63" s="1">
        <v>1</v>
      </c>
      <c r="G63">
        <v>100</v>
      </c>
      <c r="H63">
        <v>254340.33333333334</v>
      </c>
      <c r="I63" t="s">
        <v>125</v>
      </c>
      <c r="J63">
        <v>3.4383520563054679</v>
      </c>
    </row>
    <row r="64" spans="1:10" x14ac:dyDescent="0.25">
      <c r="A64" t="s">
        <v>107</v>
      </c>
      <c r="B64">
        <v>25</v>
      </c>
      <c r="C64">
        <v>256997</v>
      </c>
      <c r="D64">
        <v>260857</v>
      </c>
      <c r="E64">
        <v>258303</v>
      </c>
      <c r="F64" s="1">
        <v>1</v>
      </c>
      <c r="G64">
        <v>500</v>
      </c>
      <c r="H64">
        <v>258719</v>
      </c>
      <c r="I64" t="s">
        <v>125</v>
      </c>
      <c r="J64">
        <v>17.486106213002678</v>
      </c>
    </row>
    <row r="65" spans="1:10" x14ac:dyDescent="0.25">
      <c r="A65" t="s">
        <v>108</v>
      </c>
      <c r="B65">
        <v>0</v>
      </c>
      <c r="C65">
        <v>5069.83</v>
      </c>
      <c r="D65">
        <v>5323.28</v>
      </c>
      <c r="E65">
        <v>5254.53</v>
      </c>
      <c r="F65" s="1">
        <v>1</v>
      </c>
      <c r="G65">
        <v>10</v>
      </c>
      <c r="H65">
        <v>5215.88</v>
      </c>
      <c r="I65" t="s">
        <v>125</v>
      </c>
      <c r="J65">
        <v>8.8986833877721088E-3</v>
      </c>
    </row>
    <row r="66" spans="1:10" x14ac:dyDescent="0.25">
      <c r="A66" t="s">
        <v>108</v>
      </c>
      <c r="B66">
        <v>0.1</v>
      </c>
      <c r="C66">
        <v>16199.7</v>
      </c>
      <c r="D66">
        <v>15362.5</v>
      </c>
      <c r="E66">
        <v>16487.2</v>
      </c>
      <c r="F66" s="1">
        <v>1</v>
      </c>
      <c r="G66">
        <v>10</v>
      </c>
      <c r="H66">
        <v>16016.466666666667</v>
      </c>
      <c r="I66" t="s">
        <v>125</v>
      </c>
      <c r="J66">
        <v>2.3419582030647271E-2</v>
      </c>
    </row>
    <row r="67" spans="1:10" x14ac:dyDescent="0.25">
      <c r="A67" t="s">
        <v>108</v>
      </c>
      <c r="B67">
        <v>0.25</v>
      </c>
      <c r="C67">
        <v>40805.599999999999</v>
      </c>
      <c r="D67">
        <v>42143.4</v>
      </c>
      <c r="E67">
        <v>42735.3</v>
      </c>
      <c r="F67" s="1">
        <v>1</v>
      </c>
      <c r="G67">
        <v>10</v>
      </c>
      <c r="H67">
        <v>41894.76666666667</v>
      </c>
      <c r="I67" t="s">
        <v>125</v>
      </c>
      <c r="J67">
        <v>5.8211782023788031E-2</v>
      </c>
    </row>
    <row r="68" spans="1:10" x14ac:dyDescent="0.25">
      <c r="A68" t="s">
        <v>108</v>
      </c>
      <c r="B68">
        <v>0.5</v>
      </c>
      <c r="C68">
        <v>135193</v>
      </c>
      <c r="D68">
        <v>133033</v>
      </c>
      <c r="E68">
        <v>137548</v>
      </c>
      <c r="F68" s="1">
        <v>1</v>
      </c>
      <c r="G68">
        <v>10</v>
      </c>
      <c r="H68">
        <v>135258</v>
      </c>
      <c r="I68" t="s">
        <v>125</v>
      </c>
      <c r="J68">
        <v>0.18373441241835023</v>
      </c>
    </row>
    <row r="69" spans="1:10" x14ac:dyDescent="0.25">
      <c r="A69" t="s">
        <v>108</v>
      </c>
      <c r="B69">
        <v>1</v>
      </c>
      <c r="C69">
        <v>32308.7</v>
      </c>
      <c r="D69">
        <v>31770.7</v>
      </c>
      <c r="E69">
        <v>32525.3</v>
      </c>
      <c r="F69" s="1">
        <v>1</v>
      </c>
      <c r="G69">
        <v>100</v>
      </c>
      <c r="H69">
        <v>32201.566666666666</v>
      </c>
      <c r="I69" t="s">
        <v>125</v>
      </c>
      <c r="J69">
        <v>0.45179714501056162</v>
      </c>
    </row>
    <row r="70" spans="1:10" x14ac:dyDescent="0.25">
      <c r="A70" t="s">
        <v>108</v>
      </c>
      <c r="B70">
        <v>5</v>
      </c>
      <c r="C70">
        <v>259826</v>
      </c>
      <c r="D70">
        <v>254879</v>
      </c>
      <c r="E70">
        <v>279506</v>
      </c>
      <c r="F70" s="1">
        <v>1</v>
      </c>
      <c r="G70">
        <v>100</v>
      </c>
      <c r="H70">
        <v>264737</v>
      </c>
      <c r="I70" t="s">
        <v>125</v>
      </c>
      <c r="J70">
        <v>3.578130521633053</v>
      </c>
    </row>
    <row r="71" spans="1:10" x14ac:dyDescent="0.25">
      <c r="A71" t="s">
        <v>108</v>
      </c>
      <c r="B71">
        <v>25</v>
      </c>
      <c r="C71">
        <v>262814</v>
      </c>
      <c r="D71">
        <v>269264</v>
      </c>
      <c r="E71">
        <v>267581</v>
      </c>
      <c r="F71" s="1">
        <v>1</v>
      </c>
      <c r="G71">
        <v>500</v>
      </c>
      <c r="H71">
        <v>266553</v>
      </c>
      <c r="I71" t="s">
        <v>125</v>
      </c>
      <c r="J71">
        <v>18.012729087662652</v>
      </c>
    </row>
    <row r="72" spans="1:10" x14ac:dyDescent="0.25">
      <c r="A72" t="s">
        <v>107</v>
      </c>
      <c r="B72">
        <v>0</v>
      </c>
      <c r="C72">
        <v>5111.34</v>
      </c>
      <c r="D72">
        <v>4798.3100000000004</v>
      </c>
      <c r="E72">
        <v>4858.0600000000004</v>
      </c>
      <c r="F72">
        <v>2</v>
      </c>
      <c r="G72">
        <v>10</v>
      </c>
      <c r="H72">
        <v>4922.5700000000006</v>
      </c>
      <c r="I72" t="s">
        <v>125</v>
      </c>
      <c r="J72">
        <v>8.5043414031754378E-3</v>
      </c>
    </row>
    <row r="73" spans="1:10" x14ac:dyDescent="0.25">
      <c r="A73" t="s">
        <v>107</v>
      </c>
      <c r="B73">
        <v>0.1</v>
      </c>
      <c r="C73">
        <v>4211.04</v>
      </c>
      <c r="D73">
        <v>3543.14</v>
      </c>
      <c r="E73">
        <v>3724.01</v>
      </c>
      <c r="F73">
        <v>2</v>
      </c>
      <c r="G73">
        <v>10</v>
      </c>
      <c r="H73">
        <v>3826.0633333333335</v>
      </c>
      <c r="I73" t="s">
        <v>125</v>
      </c>
      <c r="J73">
        <v>7.030137949297909E-3</v>
      </c>
    </row>
    <row r="74" spans="1:10" x14ac:dyDescent="0.25">
      <c r="A74" t="s">
        <v>107</v>
      </c>
      <c r="B74">
        <v>0.25</v>
      </c>
      <c r="C74">
        <v>5423.11</v>
      </c>
      <c r="D74">
        <v>5419.64</v>
      </c>
      <c r="E74">
        <v>5486.29</v>
      </c>
      <c r="F74">
        <v>2</v>
      </c>
      <c r="G74">
        <v>10</v>
      </c>
      <c r="H74">
        <v>5443.0133333333333</v>
      </c>
      <c r="I74" t="s">
        <v>125</v>
      </c>
      <c r="J74">
        <v>9.2040538471315752E-3</v>
      </c>
    </row>
    <row r="75" spans="1:10" x14ac:dyDescent="0.25">
      <c r="A75" t="s">
        <v>107</v>
      </c>
      <c r="B75">
        <v>0.5</v>
      </c>
      <c r="C75">
        <v>11993.2</v>
      </c>
      <c r="D75">
        <v>10242.799999999999</v>
      </c>
      <c r="E75">
        <v>9164.68</v>
      </c>
      <c r="F75">
        <v>2</v>
      </c>
      <c r="G75">
        <v>10</v>
      </c>
      <c r="H75">
        <v>10466.893333333333</v>
      </c>
      <c r="I75" t="s">
        <v>125</v>
      </c>
      <c r="J75">
        <v>1.5958432523533812E-2</v>
      </c>
    </row>
    <row r="76" spans="1:10" x14ac:dyDescent="0.25">
      <c r="A76" t="s">
        <v>107</v>
      </c>
      <c r="B76">
        <v>1</v>
      </c>
      <c r="C76">
        <v>6625.32</v>
      </c>
      <c r="D76">
        <v>6388.6</v>
      </c>
      <c r="E76">
        <v>6326.98</v>
      </c>
      <c r="F76">
        <v>2</v>
      </c>
      <c r="G76">
        <v>100</v>
      </c>
      <c r="H76">
        <v>6446.9666666666672</v>
      </c>
      <c r="I76" t="s">
        <v>125</v>
      </c>
      <c r="J76">
        <v>0.10553823544411291</v>
      </c>
    </row>
    <row r="77" spans="1:10" x14ac:dyDescent="0.25">
      <c r="A77" t="s">
        <v>107</v>
      </c>
      <c r="B77">
        <v>5</v>
      </c>
      <c r="C77">
        <v>184090</v>
      </c>
      <c r="D77">
        <v>204163</v>
      </c>
      <c r="E77">
        <v>187405</v>
      </c>
      <c r="F77">
        <v>2</v>
      </c>
      <c r="G77">
        <v>100</v>
      </c>
      <c r="H77">
        <v>191886</v>
      </c>
      <c r="I77" t="s">
        <v>125</v>
      </c>
      <c r="J77">
        <v>2.5986818864057404</v>
      </c>
    </row>
    <row r="78" spans="1:10" x14ac:dyDescent="0.25">
      <c r="A78" t="s">
        <v>107</v>
      </c>
      <c r="B78">
        <v>25</v>
      </c>
      <c r="C78">
        <v>257520</v>
      </c>
      <c r="D78">
        <v>260602</v>
      </c>
      <c r="E78">
        <v>261082</v>
      </c>
      <c r="F78">
        <v>2</v>
      </c>
      <c r="G78">
        <v>500</v>
      </c>
      <c r="H78">
        <v>259734.66666666666</v>
      </c>
      <c r="I78" t="s">
        <v>125</v>
      </c>
      <c r="J78">
        <v>17.554382100122453</v>
      </c>
    </row>
    <row r="79" spans="1:10" x14ac:dyDescent="0.25">
      <c r="A79" t="s">
        <v>108</v>
      </c>
      <c r="B79">
        <v>0</v>
      </c>
      <c r="C79">
        <v>5041.4399999999996</v>
      </c>
      <c r="D79">
        <v>5258.84</v>
      </c>
      <c r="E79">
        <v>4729.7</v>
      </c>
      <c r="F79">
        <v>2</v>
      </c>
      <c r="G79">
        <v>10</v>
      </c>
      <c r="H79">
        <v>5009.9933333333329</v>
      </c>
      <c r="I79" t="s">
        <v>125</v>
      </c>
      <c r="J79">
        <v>8.6218781075725701E-3</v>
      </c>
    </row>
    <row r="80" spans="1:10" x14ac:dyDescent="0.25">
      <c r="A80" t="s">
        <v>108</v>
      </c>
      <c r="B80">
        <v>0.1</v>
      </c>
      <c r="C80">
        <v>3299.65</v>
      </c>
      <c r="D80">
        <v>3389.41</v>
      </c>
      <c r="E80">
        <v>3185.26</v>
      </c>
      <c r="F80">
        <v>2</v>
      </c>
      <c r="G80">
        <v>10</v>
      </c>
      <c r="H80">
        <v>3291.44</v>
      </c>
      <c r="I80" t="s">
        <v>125</v>
      </c>
      <c r="J80">
        <v>6.3113611388299551E-3</v>
      </c>
    </row>
    <row r="81" spans="1:10" x14ac:dyDescent="0.25">
      <c r="A81" t="s">
        <v>108</v>
      </c>
      <c r="B81">
        <v>0.25</v>
      </c>
      <c r="C81">
        <v>4090.48</v>
      </c>
      <c r="D81">
        <v>3935.79</v>
      </c>
      <c r="E81">
        <v>4268.87</v>
      </c>
      <c r="F81">
        <v>2</v>
      </c>
      <c r="G81">
        <v>10</v>
      </c>
      <c r="H81">
        <v>4098.38</v>
      </c>
      <c r="I81" t="s">
        <v>125</v>
      </c>
      <c r="J81">
        <v>7.3962553499050641E-3</v>
      </c>
    </row>
    <row r="82" spans="1:10" x14ac:dyDescent="0.25">
      <c r="A82" t="s">
        <v>108</v>
      </c>
      <c r="B82">
        <v>0.5</v>
      </c>
      <c r="C82">
        <v>5587.59</v>
      </c>
      <c r="D82">
        <v>5855</v>
      </c>
      <c r="E82">
        <v>6835.95</v>
      </c>
      <c r="F82">
        <v>2</v>
      </c>
      <c r="G82">
        <v>10</v>
      </c>
      <c r="H82">
        <v>6092.8466666666673</v>
      </c>
      <c r="I82" t="s">
        <v>125</v>
      </c>
      <c r="J82">
        <v>1.007772527437149E-2</v>
      </c>
    </row>
    <row r="83" spans="1:10" x14ac:dyDescent="0.25">
      <c r="A83" t="s">
        <v>108</v>
      </c>
      <c r="B83">
        <v>1</v>
      </c>
      <c r="C83">
        <v>5245.9</v>
      </c>
      <c r="D83">
        <v>5424.01</v>
      </c>
      <c r="E83">
        <v>5256.89</v>
      </c>
      <c r="F83">
        <v>2</v>
      </c>
      <c r="G83">
        <v>100</v>
      </c>
      <c r="H83">
        <v>5308.9333333333334</v>
      </c>
      <c r="I83" t="s">
        <v>125</v>
      </c>
      <c r="J83">
        <v>9.02378937167993E-2</v>
      </c>
    </row>
    <row r="84" spans="1:10" x14ac:dyDescent="0.25">
      <c r="A84" t="s">
        <v>108</v>
      </c>
      <c r="B84">
        <v>5</v>
      </c>
      <c r="C84">
        <v>177690</v>
      </c>
      <c r="D84">
        <v>168309</v>
      </c>
      <c r="E84">
        <v>172676</v>
      </c>
      <c r="F84">
        <v>2</v>
      </c>
      <c r="G84">
        <v>100</v>
      </c>
      <c r="H84">
        <v>172891.66666666666</v>
      </c>
      <c r="I84" t="s">
        <v>125</v>
      </c>
      <c r="J84">
        <v>2.343311694364643</v>
      </c>
    </row>
    <row r="85" spans="1:10" x14ac:dyDescent="0.25">
      <c r="A85" t="s">
        <v>108</v>
      </c>
      <c r="B85">
        <v>25</v>
      </c>
      <c r="C85">
        <v>259075</v>
      </c>
      <c r="D85">
        <v>266565</v>
      </c>
      <c r="E85">
        <v>271716</v>
      </c>
      <c r="F85">
        <v>2</v>
      </c>
      <c r="G85">
        <v>500</v>
      </c>
      <c r="H85">
        <v>265785.33333333331</v>
      </c>
      <c r="I85" t="s">
        <v>125</v>
      </c>
      <c r="J85">
        <v>17.961124437831064</v>
      </c>
    </row>
    <row r="86" spans="1:10" x14ac:dyDescent="0.25">
      <c r="A86" t="s">
        <v>107</v>
      </c>
      <c r="B86">
        <v>0</v>
      </c>
      <c r="C86">
        <v>5430.35</v>
      </c>
      <c r="D86">
        <v>6979.26</v>
      </c>
      <c r="E86">
        <v>5523.88</v>
      </c>
      <c r="F86">
        <v>3</v>
      </c>
      <c r="G86">
        <v>10</v>
      </c>
      <c r="H86">
        <v>5977.8300000000008</v>
      </c>
      <c r="I86" t="s">
        <v>125</v>
      </c>
      <c r="J86">
        <v>9.9230905854927332E-3</v>
      </c>
    </row>
    <row r="87" spans="1:10" x14ac:dyDescent="0.25">
      <c r="A87" t="s">
        <v>107</v>
      </c>
      <c r="B87">
        <v>0.1</v>
      </c>
      <c r="C87">
        <v>2561.46</v>
      </c>
      <c r="D87">
        <v>3057.99</v>
      </c>
      <c r="E87">
        <v>2954.17</v>
      </c>
      <c r="F87">
        <v>3</v>
      </c>
      <c r="G87">
        <v>10</v>
      </c>
      <c r="H87">
        <v>2857.873333333333</v>
      </c>
      <c r="I87" t="s">
        <v>125</v>
      </c>
      <c r="J87">
        <v>5.72845043074534E-3</v>
      </c>
    </row>
    <row r="88" spans="1:10" x14ac:dyDescent="0.25">
      <c r="A88" t="s">
        <v>107</v>
      </c>
      <c r="B88">
        <v>0.25</v>
      </c>
      <c r="C88">
        <v>2887.91</v>
      </c>
      <c r="D88">
        <v>2644.22</v>
      </c>
      <c r="E88">
        <v>2719.23</v>
      </c>
      <c r="F88">
        <v>3</v>
      </c>
      <c r="G88">
        <v>10</v>
      </c>
      <c r="H88">
        <v>2750.4533333333329</v>
      </c>
      <c r="I88" t="s">
        <v>125</v>
      </c>
      <c r="J88">
        <v>5.5840291154633011E-3</v>
      </c>
    </row>
    <row r="89" spans="1:10" x14ac:dyDescent="0.25">
      <c r="A89" t="s">
        <v>107</v>
      </c>
      <c r="B89">
        <v>0.5</v>
      </c>
      <c r="C89">
        <v>2968.32</v>
      </c>
      <c r="D89">
        <v>2868.68</v>
      </c>
      <c r="E89">
        <v>2935.06</v>
      </c>
      <c r="F89">
        <v>3</v>
      </c>
      <c r="G89">
        <v>10</v>
      </c>
      <c r="H89">
        <v>2924.02</v>
      </c>
      <c r="I89" t="s">
        <v>125</v>
      </c>
      <c r="J89">
        <v>5.8173816223439498E-3</v>
      </c>
    </row>
    <row r="90" spans="1:10" x14ac:dyDescent="0.25">
      <c r="A90" t="s">
        <v>107</v>
      </c>
      <c r="B90">
        <v>1</v>
      </c>
      <c r="C90">
        <v>2990.23</v>
      </c>
      <c r="D90">
        <v>3437.43</v>
      </c>
      <c r="E90">
        <v>3388.87</v>
      </c>
      <c r="F90">
        <v>3</v>
      </c>
      <c r="G90">
        <v>100</v>
      </c>
      <c r="H90">
        <v>3272.1766666666663</v>
      </c>
      <c r="I90" t="s">
        <v>125</v>
      </c>
      <c r="J90">
        <v>6.2854624613330606E-2</v>
      </c>
    </row>
    <row r="91" spans="1:10" x14ac:dyDescent="0.25">
      <c r="A91" t="s">
        <v>107</v>
      </c>
      <c r="B91">
        <v>5</v>
      </c>
      <c r="C91">
        <v>83571.5</v>
      </c>
      <c r="D91">
        <v>87811</v>
      </c>
      <c r="E91">
        <v>84138.3</v>
      </c>
      <c r="F91">
        <v>3</v>
      </c>
      <c r="G91">
        <v>100</v>
      </c>
      <c r="H91">
        <v>85173.599999999991</v>
      </c>
      <c r="I91" t="s">
        <v>125</v>
      </c>
      <c r="J91">
        <v>1.1639820944765822</v>
      </c>
    </row>
    <row r="92" spans="1:10" x14ac:dyDescent="0.25">
      <c r="A92" t="s">
        <v>107</v>
      </c>
      <c r="B92">
        <v>25</v>
      </c>
      <c r="C92">
        <v>237216</v>
      </c>
      <c r="D92">
        <v>231895</v>
      </c>
      <c r="E92">
        <v>232190</v>
      </c>
      <c r="F92">
        <v>3</v>
      </c>
      <c r="G92">
        <v>500</v>
      </c>
      <c r="H92">
        <v>233767</v>
      </c>
      <c r="I92" t="s">
        <v>125</v>
      </c>
      <c r="J92">
        <v>15.808764629071645</v>
      </c>
    </row>
    <row r="93" spans="1:10" x14ac:dyDescent="0.25">
      <c r="A93" t="s">
        <v>108</v>
      </c>
      <c r="B93">
        <v>0</v>
      </c>
      <c r="C93">
        <v>4867.74</v>
      </c>
      <c r="D93">
        <v>5568.68</v>
      </c>
      <c r="E93">
        <v>5594.69</v>
      </c>
      <c r="F93">
        <v>3</v>
      </c>
      <c r="G93">
        <v>10</v>
      </c>
      <c r="H93">
        <v>5343.7033333333338</v>
      </c>
      <c r="I93" t="s">
        <v>125</v>
      </c>
      <c r="J93">
        <v>9.0705360588178609E-3</v>
      </c>
    </row>
    <row r="94" spans="1:10" x14ac:dyDescent="0.25">
      <c r="A94" t="s">
        <v>108</v>
      </c>
      <c r="B94">
        <v>0.1</v>
      </c>
      <c r="C94">
        <v>2802.69</v>
      </c>
      <c r="D94">
        <v>3062.74</v>
      </c>
      <c r="E94">
        <v>3579.79</v>
      </c>
      <c r="F94">
        <v>3</v>
      </c>
      <c r="G94">
        <v>10</v>
      </c>
      <c r="H94">
        <v>3148.4066666666672</v>
      </c>
      <c r="I94" t="s">
        <v>125</v>
      </c>
      <c r="J94">
        <v>6.1190593130137742E-3</v>
      </c>
    </row>
    <row r="95" spans="1:10" x14ac:dyDescent="0.25">
      <c r="A95" t="s">
        <v>108</v>
      </c>
      <c r="B95">
        <v>0.25</v>
      </c>
      <c r="C95">
        <v>2882.7</v>
      </c>
      <c r="D95">
        <v>2997.65</v>
      </c>
      <c r="E95">
        <v>4031.02</v>
      </c>
      <c r="F95">
        <v>3</v>
      </c>
      <c r="G95">
        <v>10</v>
      </c>
      <c r="H95">
        <v>3303.7900000000004</v>
      </c>
      <c r="I95" t="s">
        <v>125</v>
      </c>
      <c r="J95">
        <v>6.3279651533871438E-3</v>
      </c>
    </row>
    <row r="96" spans="1:10" x14ac:dyDescent="0.25">
      <c r="A96" t="s">
        <v>108</v>
      </c>
      <c r="B96">
        <v>0.5</v>
      </c>
      <c r="C96">
        <v>3147.18</v>
      </c>
      <c r="D96">
        <v>3042.32</v>
      </c>
      <c r="E96">
        <v>6416.72</v>
      </c>
      <c r="F96">
        <v>3</v>
      </c>
      <c r="G96">
        <v>10</v>
      </c>
      <c r="H96">
        <v>4202.0733333333337</v>
      </c>
      <c r="I96" t="s">
        <v>125</v>
      </c>
      <c r="J96">
        <v>7.535666330969846E-3</v>
      </c>
    </row>
    <row r="97" spans="1:10" x14ac:dyDescent="0.25">
      <c r="A97" t="s">
        <v>108</v>
      </c>
      <c r="B97">
        <v>1</v>
      </c>
      <c r="C97">
        <v>2897.51</v>
      </c>
      <c r="D97">
        <v>3065.62</v>
      </c>
      <c r="E97">
        <v>3631.07</v>
      </c>
      <c r="F97">
        <v>3</v>
      </c>
      <c r="G97">
        <v>100</v>
      </c>
      <c r="H97">
        <v>3198.0666666666671</v>
      </c>
      <c r="I97" t="s">
        <v>125</v>
      </c>
      <c r="J97">
        <v>6.1858249294437312E-2</v>
      </c>
    </row>
    <row r="98" spans="1:10" x14ac:dyDescent="0.25">
      <c r="A98" t="s">
        <v>108</v>
      </c>
      <c r="B98">
        <v>5</v>
      </c>
      <c r="C98">
        <v>5983.98</v>
      </c>
      <c r="D98">
        <v>4696.8900000000003</v>
      </c>
      <c r="E98">
        <v>7580.86</v>
      </c>
      <c r="F98">
        <v>3</v>
      </c>
      <c r="G98">
        <v>100</v>
      </c>
      <c r="H98">
        <v>6087.2433333333329</v>
      </c>
      <c r="I98" t="s">
        <v>125</v>
      </c>
      <c r="J98">
        <v>0.10070191846984003</v>
      </c>
    </row>
    <row r="99" spans="1:10" x14ac:dyDescent="0.25">
      <c r="A99" t="s">
        <v>108</v>
      </c>
      <c r="B99">
        <v>25</v>
      </c>
      <c r="C99">
        <v>231962</v>
      </c>
      <c r="D99">
        <v>239520</v>
      </c>
      <c r="E99">
        <v>245426</v>
      </c>
      <c r="F99">
        <v>3</v>
      </c>
      <c r="G99">
        <v>500</v>
      </c>
      <c r="H99">
        <v>238969.33333333334</v>
      </c>
      <c r="I99" t="s">
        <v>125</v>
      </c>
      <c r="J99">
        <v>16.158479683314617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8DD2-0CF0-4FA5-9D1A-7D0892A7A41B}">
  <dimension ref="A1:AA60"/>
  <sheetViews>
    <sheetView topLeftCell="A39" workbookViewId="0">
      <selection activeCell="J46" sqref="J46:J59"/>
    </sheetView>
  </sheetViews>
  <sheetFormatPr defaultRowHeight="12.5" x14ac:dyDescent="0.25"/>
  <cols>
    <col min="6" max="6" width="2.26953125" customWidth="1"/>
    <col min="8" max="8" width="9.1796875" style="7"/>
    <col min="9" max="9" width="1.7265625" customWidth="1"/>
  </cols>
  <sheetData>
    <row r="1" spans="1:17" x14ac:dyDescent="0.25">
      <c r="B1" t="s">
        <v>100</v>
      </c>
      <c r="G1" t="s">
        <v>101</v>
      </c>
      <c r="H1" s="7" t="s">
        <v>102</v>
      </c>
      <c r="J1" s="8" t="s">
        <v>103</v>
      </c>
      <c r="L1" t="s">
        <v>104</v>
      </c>
      <c r="P1" t="s">
        <v>105</v>
      </c>
    </row>
    <row r="2" spans="1:17" x14ac:dyDescent="0.25">
      <c r="B2">
        <v>0</v>
      </c>
      <c r="C2" s="23">
        <v>4565.0600000000004</v>
      </c>
      <c r="D2" s="23">
        <v>4820.66</v>
      </c>
      <c r="E2" s="23">
        <v>4460.6899999999996</v>
      </c>
      <c r="F2" s="1"/>
      <c r="G2" s="1">
        <v>10</v>
      </c>
      <c r="H2" s="7">
        <f>AVERAGE(C2:E2)</f>
        <v>4615.47</v>
      </c>
      <c r="J2">
        <f>((H2-$O$13)/$O$12)*G2/1000</f>
        <v>8.091459389368753E-3</v>
      </c>
      <c r="L2" s="9">
        <v>0</v>
      </c>
      <c r="M2" s="1">
        <v>2731.06</v>
      </c>
      <c r="N2" s="1">
        <v>2526.84</v>
      </c>
      <c r="O2" s="10"/>
      <c r="P2" s="9">
        <f>AVERAGE(M2:O2)</f>
        <v>2628.95</v>
      </c>
      <c r="Q2" s="9"/>
    </row>
    <row r="3" spans="1:17" x14ac:dyDescent="0.25">
      <c r="B3">
        <v>0.1</v>
      </c>
      <c r="C3" s="23">
        <v>59455.8</v>
      </c>
      <c r="D3" s="23">
        <v>62865.1</v>
      </c>
      <c r="E3" s="23">
        <v>59412</v>
      </c>
      <c r="F3" s="1"/>
      <c r="G3" s="1">
        <v>10</v>
      </c>
      <c r="H3" s="7">
        <f t="shared" ref="H3:H8" si="0">AVERAGE(C3:E3)</f>
        <v>60577.633333333331</v>
      </c>
      <c r="J3">
        <f t="shared" ref="J3:J8" si="1">((H3-$O$13)/$O$12)*G3/1000</f>
        <v>8.3330048428917031E-2</v>
      </c>
      <c r="L3">
        <v>4.0000000000000001E-3</v>
      </c>
      <c r="M3" s="1" t="s">
        <v>115</v>
      </c>
      <c r="N3" s="1">
        <v>2406.38</v>
      </c>
      <c r="O3" s="1"/>
      <c r="P3">
        <f t="shared" ref="P3:P10" si="2">AVERAGE(M3:O3)</f>
        <v>2406.38</v>
      </c>
    </row>
    <row r="4" spans="1:17" x14ac:dyDescent="0.25">
      <c r="B4">
        <v>0.25</v>
      </c>
      <c r="C4" s="23">
        <v>154835</v>
      </c>
      <c r="D4" s="23">
        <v>172576</v>
      </c>
      <c r="E4" s="23">
        <v>159819</v>
      </c>
      <c r="F4" s="1"/>
      <c r="G4" s="1">
        <v>10</v>
      </c>
      <c r="H4" s="7">
        <f t="shared" si="0"/>
        <v>162410</v>
      </c>
      <c r="J4">
        <f t="shared" si="1"/>
        <v>0.22023904426100441</v>
      </c>
      <c r="L4">
        <v>0.02</v>
      </c>
      <c r="M4" s="1" t="s">
        <v>115</v>
      </c>
      <c r="N4" s="1">
        <v>2656.51</v>
      </c>
      <c r="O4" s="1"/>
      <c r="P4">
        <f t="shared" si="2"/>
        <v>2656.51</v>
      </c>
    </row>
    <row r="5" spans="1:17" x14ac:dyDescent="0.25">
      <c r="B5">
        <v>0.5</v>
      </c>
      <c r="C5" s="23">
        <v>349841</v>
      </c>
      <c r="D5" s="23">
        <v>387046</v>
      </c>
      <c r="E5" s="23">
        <v>380574</v>
      </c>
      <c r="F5" s="1"/>
      <c r="G5" s="1">
        <v>10</v>
      </c>
      <c r="H5" s="7">
        <f t="shared" si="0"/>
        <v>372487</v>
      </c>
      <c r="J5">
        <f t="shared" si="1"/>
        <v>0.50267803746994899</v>
      </c>
      <c r="L5">
        <v>0.1</v>
      </c>
      <c r="M5" s="1" t="s">
        <v>115</v>
      </c>
      <c r="N5" s="1">
        <v>3336.73</v>
      </c>
      <c r="O5" s="1"/>
      <c r="P5">
        <f t="shared" si="2"/>
        <v>3336.73</v>
      </c>
    </row>
    <row r="6" spans="1:17" x14ac:dyDescent="0.25">
      <c r="B6">
        <v>1</v>
      </c>
      <c r="C6" s="23">
        <v>60224.7</v>
      </c>
      <c r="D6" s="23">
        <v>65047.8</v>
      </c>
      <c r="E6" s="23">
        <v>63141</v>
      </c>
      <c r="F6" s="1"/>
      <c r="G6" s="1">
        <v>100</v>
      </c>
      <c r="H6" s="7">
        <f t="shared" si="0"/>
        <v>62804.5</v>
      </c>
      <c r="J6">
        <f t="shared" si="1"/>
        <v>0.86323969607074991</v>
      </c>
      <c r="L6">
        <v>0.5</v>
      </c>
      <c r="M6" s="1">
        <v>6599.42</v>
      </c>
      <c r="N6" s="1">
        <v>5147.79</v>
      </c>
      <c r="O6" s="1"/>
      <c r="P6">
        <f t="shared" si="2"/>
        <v>5873.6049999999996</v>
      </c>
    </row>
    <row r="7" spans="1:17" x14ac:dyDescent="0.25">
      <c r="B7">
        <v>5</v>
      </c>
      <c r="C7" s="23">
        <v>303505</v>
      </c>
      <c r="D7" s="23">
        <v>329964</v>
      </c>
      <c r="E7" s="23">
        <v>320549</v>
      </c>
      <c r="F7" s="1"/>
      <c r="G7" s="1">
        <v>100</v>
      </c>
      <c r="H7" s="7">
        <f t="shared" si="0"/>
        <v>318006</v>
      </c>
      <c r="J7">
        <f t="shared" si="1"/>
        <v>4.2943080531689795</v>
      </c>
      <c r="L7">
        <v>2</v>
      </c>
      <c r="M7" s="1">
        <v>18235.5</v>
      </c>
      <c r="N7" s="1">
        <v>12321.9</v>
      </c>
      <c r="O7" s="1"/>
      <c r="P7">
        <f t="shared" si="2"/>
        <v>15278.7</v>
      </c>
    </row>
    <row r="8" spans="1:17" x14ac:dyDescent="0.25">
      <c r="B8">
        <v>25</v>
      </c>
      <c r="C8" s="23">
        <v>300687</v>
      </c>
      <c r="D8" s="23">
        <v>317452</v>
      </c>
      <c r="E8" s="23">
        <v>305346</v>
      </c>
      <c r="F8" s="1"/>
      <c r="G8" s="1">
        <v>500</v>
      </c>
      <c r="H8" s="7">
        <f t="shared" si="0"/>
        <v>307828.33333333331</v>
      </c>
      <c r="J8">
        <f t="shared" si="1"/>
        <v>20.787369717296134</v>
      </c>
      <c r="L8">
        <v>10</v>
      </c>
      <c r="M8" s="1">
        <v>66370</v>
      </c>
      <c r="N8" s="1">
        <v>57968</v>
      </c>
      <c r="O8" s="1"/>
      <c r="P8">
        <f t="shared" si="2"/>
        <v>62169</v>
      </c>
    </row>
    <row r="9" spans="1:17" x14ac:dyDescent="0.25">
      <c r="L9">
        <v>25</v>
      </c>
      <c r="M9" s="1">
        <v>172721</v>
      </c>
      <c r="N9" s="1">
        <v>163229</v>
      </c>
      <c r="O9" s="1"/>
      <c r="P9">
        <f t="shared" si="2"/>
        <v>167975</v>
      </c>
    </row>
    <row r="10" spans="1:17" x14ac:dyDescent="0.25">
      <c r="C10" s="1"/>
      <c r="D10" s="1"/>
      <c r="E10" s="1"/>
      <c r="F10" s="1"/>
      <c r="G10" s="1"/>
      <c r="L10">
        <v>50</v>
      </c>
      <c r="M10" s="1">
        <v>394920</v>
      </c>
      <c r="N10" s="1">
        <v>366729</v>
      </c>
      <c r="P10">
        <f t="shared" si="2"/>
        <v>380824.5</v>
      </c>
    </row>
    <row r="11" spans="1:17" ht="13" thickBot="1" x14ac:dyDescent="0.3">
      <c r="B11" t="s">
        <v>106</v>
      </c>
    </row>
    <row r="12" spans="1:17" x14ac:dyDescent="0.25">
      <c r="A12" s="11" t="s">
        <v>107</v>
      </c>
      <c r="B12" s="12">
        <v>0</v>
      </c>
      <c r="C12" s="17">
        <v>3956.47</v>
      </c>
      <c r="D12" s="17">
        <v>3802.87</v>
      </c>
      <c r="E12" s="17">
        <v>3542.81</v>
      </c>
      <c r="F12" s="1"/>
      <c r="G12" s="1">
        <v>10</v>
      </c>
      <c r="H12" s="7">
        <f>AVERAGE(C12:E12)</f>
        <v>3767.3833333333332</v>
      </c>
      <c r="J12">
        <f>((H12-$O$13)/$O$12)*G12/1000</f>
        <v>6.9512453521954143E-3</v>
      </c>
      <c r="N12" s="16" t="s">
        <v>113</v>
      </c>
      <c r="O12" s="16">
        <f>SLOPE(P3:P10,L3:L10)</f>
        <v>7437.9602339322828</v>
      </c>
    </row>
    <row r="13" spans="1:17" x14ac:dyDescent="0.25">
      <c r="A13" s="13"/>
      <c r="B13">
        <v>0.1</v>
      </c>
      <c r="C13" s="17">
        <v>35269.800000000003</v>
      </c>
      <c r="D13" s="17">
        <v>36112</v>
      </c>
      <c r="E13" s="17">
        <v>33299.699999999997</v>
      </c>
      <c r="F13" s="1"/>
      <c r="G13" s="1">
        <v>10</v>
      </c>
      <c r="H13" s="7">
        <f t="shared" ref="H13:H25" si="3">AVERAGE(C13:E13)</f>
        <v>34893.833333333336</v>
      </c>
      <c r="J13">
        <f t="shared" ref="J13:J25" si="4">((H13-$O$13)/$O$12)*G13/1000</f>
        <v>4.879934485936923E-2</v>
      </c>
      <c r="N13" s="16" t="s">
        <v>114</v>
      </c>
      <c r="O13" s="16">
        <f>INTERCEPT(P3:P10,L3:L10)</f>
        <v>-1402.9253172602766</v>
      </c>
    </row>
    <row r="14" spans="1:17" x14ac:dyDescent="0.25">
      <c r="A14" s="13"/>
      <c r="B14">
        <v>0.25</v>
      </c>
      <c r="C14" s="17">
        <v>83701.5</v>
      </c>
      <c r="D14" s="17">
        <v>90310.9</v>
      </c>
      <c r="E14" s="17">
        <v>92149.6</v>
      </c>
      <c r="F14" s="1"/>
      <c r="G14" s="1">
        <v>10</v>
      </c>
      <c r="H14" s="7">
        <f t="shared" si="3"/>
        <v>88720.666666666672</v>
      </c>
      <c r="J14">
        <f t="shared" si="4"/>
        <v>0.12116707961516034</v>
      </c>
    </row>
    <row r="15" spans="1:17" x14ac:dyDescent="0.25">
      <c r="A15" s="13"/>
      <c r="B15">
        <v>0.5</v>
      </c>
      <c r="C15" s="17">
        <v>205133</v>
      </c>
      <c r="D15" s="17">
        <v>221995</v>
      </c>
      <c r="E15" s="17">
        <v>215802</v>
      </c>
      <c r="F15" s="1"/>
      <c r="G15" s="1">
        <v>10</v>
      </c>
      <c r="H15" s="7">
        <f t="shared" si="3"/>
        <v>214310</v>
      </c>
      <c r="J15">
        <f t="shared" si="4"/>
        <v>0.29001623903979612</v>
      </c>
    </row>
    <row r="16" spans="1:17" x14ac:dyDescent="0.25">
      <c r="A16" s="13"/>
      <c r="B16">
        <v>1</v>
      </c>
      <c r="C16" s="17">
        <v>40031.599999999999</v>
      </c>
      <c r="D16" s="17">
        <v>43187.8</v>
      </c>
      <c r="E16" s="17">
        <v>42001</v>
      </c>
      <c r="F16" s="1"/>
      <c r="G16" s="1">
        <v>100</v>
      </c>
      <c r="H16" s="7">
        <f t="shared" si="3"/>
        <v>41740.133333333331</v>
      </c>
      <c r="J16">
        <f t="shared" si="4"/>
        <v>0.58003884524379656</v>
      </c>
    </row>
    <row r="17" spans="1:27" x14ac:dyDescent="0.25">
      <c r="A17" s="13"/>
      <c r="B17">
        <v>5</v>
      </c>
      <c r="C17" s="17">
        <v>236484</v>
      </c>
      <c r="D17" s="17">
        <v>259831</v>
      </c>
      <c r="E17" s="17">
        <v>243404</v>
      </c>
      <c r="F17" s="1"/>
      <c r="G17" s="1">
        <v>100</v>
      </c>
      <c r="H17" s="7">
        <f t="shared" si="3"/>
        <v>246573</v>
      </c>
      <c r="J17">
        <f t="shared" si="4"/>
        <v>3.3339237844534821</v>
      </c>
    </row>
    <row r="18" spans="1:27" ht="13" thickBot="1" x14ac:dyDescent="0.3">
      <c r="A18" s="14"/>
      <c r="B18" s="15">
        <v>25</v>
      </c>
      <c r="C18" s="17">
        <v>221849</v>
      </c>
      <c r="D18" s="17">
        <v>251537</v>
      </c>
      <c r="E18" s="17">
        <v>238218</v>
      </c>
      <c r="F18" s="1"/>
      <c r="G18" s="1">
        <v>500</v>
      </c>
      <c r="H18" s="7">
        <f t="shared" si="3"/>
        <v>237201.33333333334</v>
      </c>
      <c r="J18">
        <f t="shared" si="4"/>
        <v>16.039629894905268</v>
      </c>
    </row>
    <row r="19" spans="1:27" x14ac:dyDescent="0.25">
      <c r="A19" s="11" t="s">
        <v>108</v>
      </c>
      <c r="B19" s="12">
        <v>0</v>
      </c>
      <c r="C19" s="18">
        <v>3506.47</v>
      </c>
      <c r="D19" s="18">
        <v>3055.23</v>
      </c>
      <c r="E19" s="18">
        <v>3130.14</v>
      </c>
      <c r="F19" s="1"/>
      <c r="G19" s="1">
        <v>10</v>
      </c>
      <c r="H19" s="7">
        <f t="shared" si="3"/>
        <v>3230.6133333333332</v>
      </c>
      <c r="J19">
        <f t="shared" si="4"/>
        <v>6.2295824458098257E-3</v>
      </c>
    </row>
    <row r="20" spans="1:27" x14ac:dyDescent="0.25">
      <c r="A20" s="13"/>
      <c r="B20">
        <v>0.1</v>
      </c>
      <c r="C20" s="18">
        <v>26495.200000000001</v>
      </c>
      <c r="D20" s="18">
        <v>23853.200000000001</v>
      </c>
      <c r="E20" s="18">
        <v>24646.9</v>
      </c>
      <c r="F20" s="1"/>
      <c r="G20" s="1">
        <v>10</v>
      </c>
      <c r="H20" s="7">
        <f t="shared" si="3"/>
        <v>24998.433333333334</v>
      </c>
      <c r="J20">
        <f t="shared" si="4"/>
        <v>3.5495428612470278E-2</v>
      </c>
      <c r="M20" t="s">
        <v>109</v>
      </c>
    </row>
    <row r="21" spans="1:27" x14ac:dyDescent="0.25">
      <c r="A21" s="13"/>
      <c r="B21">
        <v>0.25</v>
      </c>
      <c r="C21" s="18">
        <v>67308.3</v>
      </c>
      <c r="D21" s="18">
        <v>56092.7</v>
      </c>
      <c r="E21" s="18">
        <v>60220.3</v>
      </c>
      <c r="F21" s="1"/>
      <c r="G21" s="1">
        <v>10</v>
      </c>
      <c r="H21" s="7">
        <f t="shared" si="3"/>
        <v>61207.1</v>
      </c>
      <c r="J21">
        <f t="shared" si="4"/>
        <v>8.4176337797062628E-2</v>
      </c>
    </row>
    <row r="22" spans="1:27" x14ac:dyDescent="0.25">
      <c r="A22" s="13"/>
      <c r="B22">
        <v>0.5</v>
      </c>
      <c r="C22" s="18">
        <v>178233</v>
      </c>
      <c r="D22" s="18">
        <v>144859</v>
      </c>
      <c r="E22" s="18">
        <v>156539</v>
      </c>
      <c r="F22" s="1"/>
      <c r="G22" s="1">
        <v>10</v>
      </c>
      <c r="H22" s="7">
        <f t="shared" si="3"/>
        <v>159877</v>
      </c>
      <c r="J22">
        <f t="shared" si="4"/>
        <v>0.21683354070850577</v>
      </c>
    </row>
    <row r="23" spans="1:27" x14ac:dyDescent="0.25">
      <c r="A23" s="13"/>
      <c r="B23">
        <v>1</v>
      </c>
      <c r="C23" s="18">
        <v>39507</v>
      </c>
      <c r="D23" s="18">
        <v>37045.800000000003</v>
      </c>
      <c r="E23" s="18">
        <v>39078.199999999997</v>
      </c>
      <c r="F23" s="1"/>
      <c r="G23" s="1">
        <v>100</v>
      </c>
      <c r="H23" s="7">
        <f t="shared" si="3"/>
        <v>38543.666666666664</v>
      </c>
      <c r="J23">
        <f t="shared" si="4"/>
        <v>0.53706380146654908</v>
      </c>
      <c r="AA23" t="s">
        <v>110</v>
      </c>
    </row>
    <row r="24" spans="1:27" x14ac:dyDescent="0.25">
      <c r="A24" s="13"/>
      <c r="B24">
        <v>5</v>
      </c>
      <c r="C24" s="18">
        <v>251940</v>
      </c>
      <c r="D24" s="18">
        <v>235914</v>
      </c>
      <c r="E24" s="18">
        <v>264529</v>
      </c>
      <c r="F24" s="1"/>
      <c r="G24" s="1">
        <v>100</v>
      </c>
      <c r="H24" s="7">
        <f t="shared" si="3"/>
        <v>250794.33333333334</v>
      </c>
      <c r="J24">
        <f t="shared" si="4"/>
        <v>3.3906776954797273</v>
      </c>
    </row>
    <row r="25" spans="1:27" ht="13" thickBot="1" x14ac:dyDescent="0.3">
      <c r="A25" s="14"/>
      <c r="B25" s="15">
        <v>25</v>
      </c>
      <c r="C25" s="18">
        <v>243850</v>
      </c>
      <c r="D25" s="18">
        <v>236678</v>
      </c>
      <c r="E25" s="18">
        <v>261463</v>
      </c>
      <c r="F25" s="1"/>
      <c r="G25" s="1">
        <v>500</v>
      </c>
      <c r="H25" s="7">
        <f t="shared" si="3"/>
        <v>247330.33333333334</v>
      </c>
      <c r="J25">
        <f t="shared" si="4"/>
        <v>16.720528937211991</v>
      </c>
    </row>
    <row r="26" spans="1:27" x14ac:dyDescent="0.25">
      <c r="C26" s="1"/>
      <c r="D26" s="1"/>
      <c r="E26" s="1"/>
      <c r="F26" s="1"/>
      <c r="G26" s="1"/>
    </row>
    <row r="28" spans="1:27" ht="13" thickBot="1" x14ac:dyDescent="0.3">
      <c r="B28" t="s">
        <v>111</v>
      </c>
    </row>
    <row r="29" spans="1:27" x14ac:dyDescent="0.25">
      <c r="A29" s="11" t="s">
        <v>107</v>
      </c>
      <c r="B29" s="12">
        <v>0</v>
      </c>
      <c r="C29" s="19">
        <v>3696.65</v>
      </c>
      <c r="D29" s="19">
        <v>3658.31</v>
      </c>
      <c r="E29" s="19">
        <v>3946.35</v>
      </c>
      <c r="F29" s="1"/>
      <c r="G29" s="1">
        <v>10</v>
      </c>
      <c r="H29" s="7">
        <f t="shared" ref="H29:H42" si="5">AVERAGE(C29:E29)</f>
        <v>3767.103333333333</v>
      </c>
      <c r="J29">
        <f>((H29-$O$13)/$O$12)*G29/1000</f>
        <v>6.9508689049018095E-3</v>
      </c>
    </row>
    <row r="30" spans="1:27" x14ac:dyDescent="0.25">
      <c r="A30" s="13"/>
      <c r="B30">
        <v>0.1</v>
      </c>
      <c r="C30" s="19">
        <v>21594.7</v>
      </c>
      <c r="D30" s="19">
        <v>20274.3</v>
      </c>
      <c r="E30" s="19">
        <v>17665.3</v>
      </c>
      <c r="F30" s="1"/>
      <c r="G30" s="1">
        <v>10</v>
      </c>
      <c r="H30" s="7">
        <f t="shared" si="5"/>
        <v>19844.766666666666</v>
      </c>
      <c r="J30">
        <f t="shared" ref="J30:J42" si="6">((H30-$O$13)/$O$12)*G30/1000</f>
        <v>2.8566557652451668E-2</v>
      </c>
    </row>
    <row r="31" spans="1:27" x14ac:dyDescent="0.25">
      <c r="A31" s="13"/>
      <c r="B31">
        <v>0.25</v>
      </c>
      <c r="C31" s="19">
        <v>51056.1</v>
      </c>
      <c r="D31" s="19">
        <v>45529.4</v>
      </c>
      <c r="E31" s="19">
        <v>37217.199999999997</v>
      </c>
      <c r="F31" s="1"/>
      <c r="G31" s="1">
        <v>10</v>
      </c>
      <c r="H31" s="7">
        <f t="shared" si="5"/>
        <v>44600.9</v>
      </c>
      <c r="J31">
        <f t="shared" si="6"/>
        <v>6.185005548616531E-2</v>
      </c>
    </row>
    <row r="32" spans="1:27" x14ac:dyDescent="0.25">
      <c r="A32" s="13"/>
      <c r="B32">
        <v>0.5</v>
      </c>
      <c r="C32" s="19">
        <v>142789</v>
      </c>
      <c r="D32" s="19">
        <v>130558</v>
      </c>
      <c r="E32" s="19">
        <v>119742</v>
      </c>
      <c r="F32" s="1"/>
      <c r="G32" s="1">
        <v>10</v>
      </c>
      <c r="H32" s="7">
        <f t="shared" si="5"/>
        <v>131029.66666666667</v>
      </c>
      <c r="J32">
        <f t="shared" si="6"/>
        <v>0.17804961013338572</v>
      </c>
    </row>
    <row r="33" spans="1:10" x14ac:dyDescent="0.25">
      <c r="A33" s="13"/>
      <c r="B33">
        <v>1</v>
      </c>
      <c r="C33" s="19">
        <v>36432.1</v>
      </c>
      <c r="D33" s="19">
        <v>37364.699999999997</v>
      </c>
      <c r="E33" s="19">
        <v>35199.599999999999</v>
      </c>
      <c r="F33" s="1"/>
      <c r="G33" s="1">
        <v>100</v>
      </c>
      <c r="H33" s="7">
        <f t="shared" si="5"/>
        <v>36332.133333333331</v>
      </c>
      <c r="J33">
        <f t="shared" si="6"/>
        <v>0.50733073939337159</v>
      </c>
    </row>
    <row r="34" spans="1:10" x14ac:dyDescent="0.25">
      <c r="A34" s="13"/>
      <c r="B34">
        <v>5</v>
      </c>
      <c r="C34" s="19">
        <v>239919</v>
      </c>
      <c r="D34" s="19">
        <v>259412</v>
      </c>
      <c r="E34" s="19">
        <v>255883</v>
      </c>
      <c r="F34" s="1"/>
      <c r="G34" s="1">
        <v>100</v>
      </c>
      <c r="H34" s="7">
        <f t="shared" si="5"/>
        <v>251738</v>
      </c>
      <c r="J34">
        <f t="shared" si="6"/>
        <v>3.4033648655772701</v>
      </c>
    </row>
    <row r="35" spans="1:10" ht="13" thickBot="1" x14ac:dyDescent="0.3">
      <c r="A35" s="14"/>
      <c r="B35" s="15">
        <v>25</v>
      </c>
      <c r="C35" s="19">
        <v>241581</v>
      </c>
      <c r="D35" s="19">
        <v>253620</v>
      </c>
      <c r="E35" s="19">
        <v>252093</v>
      </c>
      <c r="F35" s="1"/>
      <c r="G35" s="1">
        <v>500</v>
      </c>
      <c r="H35" s="7">
        <f t="shared" si="5"/>
        <v>249098</v>
      </c>
      <c r="J35">
        <f t="shared" si="6"/>
        <v>16.839356318044338</v>
      </c>
    </row>
    <row r="36" spans="1:10" x14ac:dyDescent="0.25">
      <c r="A36" s="11" t="s">
        <v>108</v>
      </c>
      <c r="B36" s="12">
        <v>0</v>
      </c>
      <c r="C36" s="20">
        <v>3204.08</v>
      </c>
      <c r="D36" s="20">
        <v>3210.74</v>
      </c>
      <c r="E36" s="20">
        <v>2861.96</v>
      </c>
      <c r="F36" s="1"/>
      <c r="G36" s="1">
        <v>10</v>
      </c>
      <c r="H36" s="7">
        <f t="shared" si="5"/>
        <v>3092.2599999999998</v>
      </c>
      <c r="J36">
        <f t="shared" si="6"/>
        <v>6.0435726676153169E-3</v>
      </c>
    </row>
    <row r="37" spans="1:10" x14ac:dyDescent="0.25">
      <c r="A37" s="13"/>
      <c r="B37">
        <v>0.1</v>
      </c>
      <c r="C37" s="20">
        <v>14926.3</v>
      </c>
      <c r="D37" s="20">
        <v>12049.2</v>
      </c>
      <c r="E37" s="20">
        <v>11553.4</v>
      </c>
      <c r="F37" s="1"/>
      <c r="G37" s="1">
        <v>10</v>
      </c>
      <c r="H37" s="7">
        <f t="shared" si="5"/>
        <v>12842.966666666667</v>
      </c>
      <c r="J37">
        <f t="shared" si="6"/>
        <v>1.9152955294028856E-2</v>
      </c>
    </row>
    <row r="38" spans="1:10" x14ac:dyDescent="0.25">
      <c r="A38" s="13"/>
      <c r="B38">
        <v>0.25</v>
      </c>
      <c r="C38" s="20">
        <v>30515.5</v>
      </c>
      <c r="D38" s="20">
        <v>21179.5</v>
      </c>
      <c r="E38" s="20">
        <v>21816.400000000001</v>
      </c>
      <c r="F38" s="1"/>
      <c r="G38" s="1">
        <v>10</v>
      </c>
      <c r="H38" s="7">
        <f t="shared" si="5"/>
        <v>24503.8</v>
      </c>
      <c r="J38">
        <f t="shared" si="6"/>
        <v>3.4830416542256736E-2</v>
      </c>
    </row>
    <row r="39" spans="1:10" x14ac:dyDescent="0.25">
      <c r="A39" s="13"/>
      <c r="B39">
        <v>0.5</v>
      </c>
      <c r="C39" s="20">
        <v>75727</v>
      </c>
      <c r="D39" s="20">
        <v>59554</v>
      </c>
      <c r="E39" s="20">
        <v>50120.7</v>
      </c>
      <c r="F39" s="1"/>
      <c r="G39" s="1">
        <v>10</v>
      </c>
      <c r="H39" s="7">
        <f t="shared" si="5"/>
        <v>61800.566666666673</v>
      </c>
      <c r="J39">
        <f t="shared" si="6"/>
        <v>8.4974226798887678E-2</v>
      </c>
    </row>
    <row r="40" spans="1:10" x14ac:dyDescent="0.25">
      <c r="A40" s="13"/>
      <c r="B40">
        <v>1</v>
      </c>
      <c r="C40" s="20">
        <v>29976</v>
      </c>
      <c r="D40" s="20">
        <v>26186.2</v>
      </c>
      <c r="E40" s="20">
        <v>21193.7</v>
      </c>
      <c r="F40" s="1"/>
      <c r="G40" s="1">
        <v>100</v>
      </c>
      <c r="H40" s="7">
        <f t="shared" si="5"/>
        <v>25785.3</v>
      </c>
      <c r="J40">
        <f t="shared" si="6"/>
        <v>0.36553335137806281</v>
      </c>
    </row>
    <row r="41" spans="1:10" x14ac:dyDescent="0.25">
      <c r="A41" s="13"/>
      <c r="B41">
        <v>5</v>
      </c>
      <c r="C41" s="20">
        <v>238833</v>
      </c>
      <c r="D41" s="20">
        <v>224563</v>
      </c>
      <c r="E41" s="20">
        <v>240582</v>
      </c>
      <c r="F41" s="1"/>
      <c r="G41" s="1">
        <v>100</v>
      </c>
      <c r="H41" s="7">
        <f t="shared" si="5"/>
        <v>234659.33333333334</v>
      </c>
      <c r="J41">
        <f t="shared" si="6"/>
        <v>3.1737499425402658</v>
      </c>
    </row>
    <row r="42" spans="1:10" ht="13" thickBot="1" x14ac:dyDescent="0.3">
      <c r="A42" s="14"/>
      <c r="B42" s="15">
        <v>25</v>
      </c>
      <c r="C42" s="20">
        <v>253413</v>
      </c>
      <c r="D42" s="20">
        <v>250863</v>
      </c>
      <c r="E42" s="20">
        <v>262214</v>
      </c>
      <c r="F42" s="1"/>
      <c r="G42" s="1">
        <v>500</v>
      </c>
      <c r="H42" s="7">
        <f t="shared" si="5"/>
        <v>255496.66666666666</v>
      </c>
      <c r="J42">
        <f t="shared" si="6"/>
        <v>17.26949216614122</v>
      </c>
    </row>
    <row r="43" spans="1:10" x14ac:dyDescent="0.25">
      <c r="C43" s="1"/>
      <c r="D43" s="1"/>
      <c r="E43" s="1"/>
      <c r="F43" s="1"/>
      <c r="G43" s="1"/>
    </row>
    <row r="45" spans="1:10" ht="13" thickBot="1" x14ac:dyDescent="0.3">
      <c r="B45" t="s">
        <v>112</v>
      </c>
    </row>
    <row r="46" spans="1:10" x14ac:dyDescent="0.25">
      <c r="A46" s="11" t="s">
        <v>107</v>
      </c>
      <c r="B46" s="12">
        <v>0</v>
      </c>
      <c r="C46" s="21">
        <v>3965.27</v>
      </c>
      <c r="D46" s="21">
        <v>3775.19</v>
      </c>
      <c r="E46" s="21">
        <v>4000.28</v>
      </c>
      <c r="F46" s="1"/>
      <c r="G46" s="1">
        <v>10</v>
      </c>
      <c r="H46" s="7">
        <f t="shared" ref="H46:H59" si="7">AVERAGE(C46:E46)</f>
        <v>3913.58</v>
      </c>
      <c r="J46">
        <f>((H46-$O$13)/$O$12)*G46/1000</f>
        <v>7.147800136126245E-3</v>
      </c>
    </row>
    <row r="47" spans="1:10" x14ac:dyDescent="0.25">
      <c r="A47" s="13"/>
      <c r="B47">
        <v>0.1</v>
      </c>
      <c r="C47" s="21">
        <v>8458.7800000000007</v>
      </c>
      <c r="D47" s="21">
        <v>8238.51</v>
      </c>
      <c r="E47" s="21">
        <v>7108.64</v>
      </c>
      <c r="F47" s="1"/>
      <c r="G47" s="1">
        <v>10</v>
      </c>
      <c r="H47" s="7">
        <f t="shared" si="7"/>
        <v>7935.31</v>
      </c>
      <c r="J47">
        <f t="shared" ref="J47:J59" si="8">((H47-$O$13)/$O$12)*G47/1000</f>
        <v>1.2554833615080196E-2</v>
      </c>
    </row>
    <row r="48" spans="1:10" x14ac:dyDescent="0.25">
      <c r="A48" s="13"/>
      <c r="B48">
        <v>0.25</v>
      </c>
      <c r="C48" s="21">
        <v>11600.8</v>
      </c>
      <c r="D48" s="21">
        <v>11321.6</v>
      </c>
      <c r="E48" s="21">
        <v>9836.83</v>
      </c>
      <c r="F48" s="1"/>
      <c r="G48" s="1">
        <v>10</v>
      </c>
      <c r="H48" s="7">
        <f t="shared" si="7"/>
        <v>10919.743333333334</v>
      </c>
      <c r="J48">
        <f t="shared" si="8"/>
        <v>1.6567268798207722E-2</v>
      </c>
    </row>
    <row r="49" spans="1:10" x14ac:dyDescent="0.25">
      <c r="A49" s="13"/>
      <c r="B49">
        <v>0.5</v>
      </c>
      <c r="C49" s="21">
        <v>24954.1</v>
      </c>
      <c r="D49" s="21">
        <v>22882.400000000001</v>
      </c>
      <c r="E49" s="21">
        <v>18436</v>
      </c>
      <c r="F49" s="1"/>
      <c r="G49" s="1">
        <v>10</v>
      </c>
      <c r="H49" s="7">
        <f t="shared" si="7"/>
        <v>22090.833333333332</v>
      </c>
      <c r="J49">
        <f t="shared" si="8"/>
        <v>3.1586292359313928E-2</v>
      </c>
    </row>
    <row r="50" spans="1:10" x14ac:dyDescent="0.25">
      <c r="A50" s="13"/>
      <c r="B50">
        <v>1</v>
      </c>
      <c r="C50" s="21">
        <v>18904.400000000001</v>
      </c>
      <c r="D50" s="21">
        <v>14122.5</v>
      </c>
      <c r="E50" s="21">
        <v>11014.7</v>
      </c>
      <c r="F50" s="1"/>
      <c r="G50" s="1">
        <v>100</v>
      </c>
      <c r="H50" s="7">
        <f t="shared" si="7"/>
        <v>14680.533333333335</v>
      </c>
      <c r="J50">
        <f t="shared" si="8"/>
        <v>0.21623480288614888</v>
      </c>
    </row>
    <row r="51" spans="1:10" x14ac:dyDescent="0.25">
      <c r="A51" s="13"/>
      <c r="B51">
        <v>5</v>
      </c>
      <c r="C51" s="21">
        <v>214077</v>
      </c>
      <c r="D51" s="21">
        <v>245053</v>
      </c>
      <c r="E51" s="21">
        <v>222571</v>
      </c>
      <c r="F51" s="1"/>
      <c r="G51" s="1">
        <v>100</v>
      </c>
      <c r="H51" s="7">
        <f t="shared" si="7"/>
        <v>227233.66666666666</v>
      </c>
      <c r="J51">
        <f t="shared" si="8"/>
        <v>3.0739152239733327</v>
      </c>
    </row>
    <row r="52" spans="1:10" ht="13" thickBot="1" x14ac:dyDescent="0.3">
      <c r="A52" s="14"/>
      <c r="B52" s="15">
        <v>25</v>
      </c>
      <c r="C52" s="21">
        <v>265359</v>
      </c>
      <c r="D52" s="21">
        <v>288860</v>
      </c>
      <c r="E52" s="21">
        <v>281503</v>
      </c>
      <c r="F52" s="1"/>
      <c r="G52" s="1">
        <v>500</v>
      </c>
      <c r="H52" s="7">
        <f t="shared" si="7"/>
        <v>278574</v>
      </c>
      <c r="J52">
        <f t="shared" si="8"/>
        <v>18.820813537022822</v>
      </c>
    </row>
    <row r="53" spans="1:10" x14ac:dyDescent="0.25">
      <c r="A53" s="11" t="s">
        <v>108</v>
      </c>
      <c r="B53" s="12">
        <v>0</v>
      </c>
      <c r="C53" s="22">
        <v>3398.8</v>
      </c>
      <c r="D53" s="22">
        <v>2653.58</v>
      </c>
      <c r="E53" s="22">
        <v>2504.27</v>
      </c>
      <c r="F53" s="1"/>
      <c r="G53" s="1">
        <v>10</v>
      </c>
      <c r="H53" s="7">
        <f t="shared" si="7"/>
        <v>2852.2166666666667</v>
      </c>
      <c r="J53">
        <f t="shared" si="8"/>
        <v>5.7208452991114548E-3</v>
      </c>
    </row>
    <row r="54" spans="1:10" x14ac:dyDescent="0.25">
      <c r="A54" s="13"/>
      <c r="B54">
        <v>0.1</v>
      </c>
      <c r="C54" s="22">
        <v>5166.93</v>
      </c>
      <c r="D54" s="22">
        <v>4823.84</v>
      </c>
      <c r="E54" s="22">
        <v>4928.93</v>
      </c>
      <c r="F54" s="1"/>
      <c r="G54" s="1">
        <v>10</v>
      </c>
      <c r="H54" s="7">
        <f t="shared" si="7"/>
        <v>4973.2333333333336</v>
      </c>
      <c r="J54">
        <f t="shared" si="8"/>
        <v>8.5724559557408108E-3</v>
      </c>
    </row>
    <row r="55" spans="1:10" x14ac:dyDescent="0.25">
      <c r="A55" s="13"/>
      <c r="B55">
        <v>0.25</v>
      </c>
      <c r="C55" s="22">
        <v>8143.85</v>
      </c>
      <c r="D55" s="22">
        <v>6786.54</v>
      </c>
      <c r="E55" s="22">
        <v>7349.17</v>
      </c>
      <c r="F55" s="1"/>
      <c r="G55" s="1">
        <v>10</v>
      </c>
      <c r="H55" s="7">
        <f t="shared" si="7"/>
        <v>7426.5199999999995</v>
      </c>
      <c r="J55">
        <f t="shared" si="8"/>
        <v>1.1870788548962634E-2</v>
      </c>
    </row>
    <row r="56" spans="1:10" x14ac:dyDescent="0.25">
      <c r="A56" s="13"/>
      <c r="B56">
        <v>0.5</v>
      </c>
      <c r="C56" s="22">
        <v>11164.9</v>
      </c>
      <c r="D56" s="22">
        <v>9290.52</v>
      </c>
      <c r="E56" s="22">
        <v>11260.4</v>
      </c>
      <c r="F56" s="1"/>
      <c r="G56" s="1">
        <v>10</v>
      </c>
      <c r="H56" s="7">
        <f t="shared" si="7"/>
        <v>10571.94</v>
      </c>
      <c r="J56">
        <f t="shared" si="8"/>
        <v>1.6099662999851012E-2</v>
      </c>
    </row>
    <row r="57" spans="1:10" x14ac:dyDescent="0.25">
      <c r="A57" s="13"/>
      <c r="B57">
        <v>1</v>
      </c>
      <c r="C57" s="22">
        <v>11233.2</v>
      </c>
      <c r="D57" s="22">
        <v>6305.79</v>
      </c>
      <c r="E57" s="22">
        <v>7175.69</v>
      </c>
      <c r="F57" s="1"/>
      <c r="G57" s="1">
        <v>100</v>
      </c>
      <c r="H57" s="7">
        <f t="shared" si="7"/>
        <v>8238.2266666666674</v>
      </c>
      <c r="J57">
        <f t="shared" si="8"/>
        <v>0.12962091327059816</v>
      </c>
    </row>
    <row r="58" spans="1:10" x14ac:dyDescent="0.25">
      <c r="A58" s="13"/>
      <c r="B58">
        <v>5</v>
      </c>
      <c r="C58" s="22">
        <v>164295</v>
      </c>
      <c r="D58" s="22">
        <v>153619</v>
      </c>
      <c r="E58" s="22">
        <v>185782</v>
      </c>
      <c r="F58" s="1"/>
      <c r="G58" s="1">
        <v>100</v>
      </c>
      <c r="H58" s="7">
        <f t="shared" si="7"/>
        <v>167898.66666666666</v>
      </c>
      <c r="J58">
        <f t="shared" si="8"/>
        <v>2.2761830751872814</v>
      </c>
    </row>
    <row r="59" spans="1:10" ht="13" thickBot="1" x14ac:dyDescent="0.3">
      <c r="A59" s="14"/>
      <c r="B59" s="15">
        <v>25</v>
      </c>
      <c r="C59" s="22">
        <v>272578</v>
      </c>
      <c r="D59" s="22">
        <v>262584</v>
      </c>
      <c r="E59" s="22">
        <v>281316</v>
      </c>
      <c r="F59" s="1"/>
      <c r="G59" s="1">
        <v>500</v>
      </c>
      <c r="H59" s="7">
        <f t="shared" si="7"/>
        <v>272159.33333333331</v>
      </c>
      <c r="J59">
        <f t="shared" si="8"/>
        <v>18.389602125229928</v>
      </c>
    </row>
    <row r="60" spans="1:10" x14ac:dyDescent="0.25">
      <c r="C60" s="1"/>
      <c r="D60" s="1"/>
      <c r="E60" s="1"/>
      <c r="F60" s="1"/>
      <c r="G60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43A5-55C0-41FF-BA8D-D37EEF30C6A8}">
  <dimension ref="A1:AA60"/>
  <sheetViews>
    <sheetView workbookViewId="0">
      <selection sqref="A1:J59"/>
    </sheetView>
  </sheetViews>
  <sheetFormatPr defaultRowHeight="12.5" x14ac:dyDescent="0.25"/>
  <cols>
    <col min="6" max="6" width="2.26953125" customWidth="1"/>
    <col min="8" max="8" width="9.1796875" style="7"/>
    <col min="9" max="9" width="1.7265625" customWidth="1"/>
  </cols>
  <sheetData>
    <row r="1" spans="1:17" x14ac:dyDescent="0.25">
      <c r="B1" t="s">
        <v>100</v>
      </c>
      <c r="G1" t="s">
        <v>101</v>
      </c>
      <c r="H1" s="7" t="s">
        <v>102</v>
      </c>
      <c r="J1" s="8" t="s">
        <v>103</v>
      </c>
      <c r="L1" t="s">
        <v>104</v>
      </c>
      <c r="P1" t="s">
        <v>105</v>
      </c>
    </row>
    <row r="2" spans="1:17" x14ac:dyDescent="0.25">
      <c r="B2">
        <v>0</v>
      </c>
      <c r="C2" s="30">
        <v>7432.04</v>
      </c>
      <c r="D2" s="30">
        <v>7579.49</v>
      </c>
      <c r="E2" s="30">
        <v>9372.74</v>
      </c>
      <c r="F2" s="1"/>
      <c r="G2" s="1">
        <v>10</v>
      </c>
      <c r="H2" s="7">
        <f>AVERAGE(C2:E2)</f>
        <v>8128.0899999999992</v>
      </c>
      <c r="J2">
        <f>((H2-$O$13)/$O$12)*G2/1000</f>
        <v>1.2814017576726736E-2</v>
      </c>
      <c r="L2" s="9">
        <v>0</v>
      </c>
      <c r="M2" s="1">
        <v>2731.06</v>
      </c>
      <c r="N2" s="1">
        <v>2526.84</v>
      </c>
      <c r="O2" s="10"/>
      <c r="P2" s="9">
        <f>AVERAGE(M2:O2)</f>
        <v>2628.95</v>
      </c>
      <c r="Q2" s="9"/>
    </row>
    <row r="3" spans="1:17" x14ac:dyDescent="0.25">
      <c r="B3">
        <v>0.1</v>
      </c>
      <c r="C3" s="30">
        <v>44984</v>
      </c>
      <c r="D3" s="30">
        <v>49448.4</v>
      </c>
      <c r="E3" s="30">
        <v>50249.7</v>
      </c>
      <c r="F3" s="1"/>
      <c r="G3" s="1">
        <v>10</v>
      </c>
      <c r="H3" s="7">
        <f t="shared" ref="H3:H8" si="0">AVERAGE(C3:E3)</f>
        <v>48227.366666666661</v>
      </c>
      <c r="J3">
        <f t="shared" ref="J3:J8" si="1">((H3-$O$13)/$O$12)*G3/1000</f>
        <v>6.6725675350496616E-2</v>
      </c>
      <c r="L3">
        <v>4.0000000000000001E-3</v>
      </c>
      <c r="M3" s="1" t="s">
        <v>115</v>
      </c>
      <c r="N3" s="1">
        <v>2406.38</v>
      </c>
      <c r="O3" s="1"/>
      <c r="P3">
        <f t="shared" ref="P3:P10" si="2">AVERAGE(M3:O3)</f>
        <v>2406.38</v>
      </c>
    </row>
    <row r="4" spans="1:17" x14ac:dyDescent="0.25">
      <c r="B4">
        <v>0.25</v>
      </c>
      <c r="C4" s="30">
        <v>130368</v>
      </c>
      <c r="D4" s="30">
        <v>142043</v>
      </c>
      <c r="E4" s="30">
        <v>136004</v>
      </c>
      <c r="F4" s="1"/>
      <c r="G4" s="1">
        <v>10</v>
      </c>
      <c r="H4" s="7">
        <f t="shared" si="0"/>
        <v>136138.33333333334</v>
      </c>
      <c r="J4">
        <f t="shared" si="1"/>
        <v>0.18491798063550369</v>
      </c>
      <c r="L4">
        <v>0.02</v>
      </c>
      <c r="M4" s="1" t="s">
        <v>115</v>
      </c>
      <c r="N4" s="1">
        <v>2656.51</v>
      </c>
      <c r="O4" s="1"/>
      <c r="P4">
        <f t="shared" si="2"/>
        <v>2656.51</v>
      </c>
    </row>
    <row r="5" spans="1:17" x14ac:dyDescent="0.25">
      <c r="B5">
        <v>0.5</v>
      </c>
      <c r="C5" s="30">
        <v>359918</v>
      </c>
      <c r="D5" s="30">
        <v>386059</v>
      </c>
      <c r="E5" s="30">
        <v>370685</v>
      </c>
      <c r="F5" s="1"/>
      <c r="G5" s="1">
        <v>10</v>
      </c>
      <c r="H5" s="7">
        <f t="shared" si="0"/>
        <v>372220.66666666669</v>
      </c>
      <c r="J5">
        <f t="shared" si="1"/>
        <v>0.5023199643894849</v>
      </c>
      <c r="L5">
        <v>0.1</v>
      </c>
      <c r="M5" s="1" t="s">
        <v>115</v>
      </c>
      <c r="N5" s="1">
        <v>3336.73</v>
      </c>
      <c r="O5" s="1"/>
      <c r="P5">
        <f t="shared" si="2"/>
        <v>3336.73</v>
      </c>
    </row>
    <row r="6" spans="1:17" x14ac:dyDescent="0.25">
      <c r="B6">
        <v>1</v>
      </c>
      <c r="C6" s="30">
        <v>53474.6</v>
      </c>
      <c r="D6" s="30">
        <v>56217.9</v>
      </c>
      <c r="E6" s="30">
        <v>53902</v>
      </c>
      <c r="F6" s="1"/>
      <c r="G6" s="1">
        <v>100</v>
      </c>
      <c r="H6" s="7">
        <f t="shared" si="0"/>
        <v>54531.5</v>
      </c>
      <c r="J6">
        <f t="shared" si="1"/>
        <v>0.75201296535688789</v>
      </c>
      <c r="L6">
        <v>0.5</v>
      </c>
      <c r="M6" s="1">
        <v>6599.42</v>
      </c>
      <c r="N6" s="1">
        <v>5147.79</v>
      </c>
      <c r="O6" s="1"/>
      <c r="P6">
        <f t="shared" si="2"/>
        <v>5873.6049999999996</v>
      </c>
    </row>
    <row r="7" spans="1:17" x14ac:dyDescent="0.25">
      <c r="B7">
        <v>5</v>
      </c>
      <c r="C7" s="30">
        <v>360795</v>
      </c>
      <c r="D7" s="30">
        <v>359995</v>
      </c>
      <c r="E7" s="30">
        <v>349219</v>
      </c>
      <c r="F7" s="1"/>
      <c r="G7" s="1">
        <v>100</v>
      </c>
      <c r="H7" s="7">
        <f t="shared" si="0"/>
        <v>356669.66666666669</v>
      </c>
      <c r="J7">
        <f t="shared" si="1"/>
        <v>4.8141235059362772</v>
      </c>
      <c r="L7">
        <v>2</v>
      </c>
      <c r="M7" s="1">
        <v>18235.5</v>
      </c>
      <c r="N7" s="1">
        <v>12321.9</v>
      </c>
      <c r="O7" s="1"/>
      <c r="P7">
        <f t="shared" si="2"/>
        <v>15278.7</v>
      </c>
    </row>
    <row r="8" spans="1:17" x14ac:dyDescent="0.25">
      <c r="B8">
        <v>25</v>
      </c>
      <c r="C8" s="30">
        <v>300711</v>
      </c>
      <c r="D8" s="30">
        <v>299128</v>
      </c>
      <c r="E8" s="30">
        <v>287805</v>
      </c>
      <c r="F8" s="1"/>
      <c r="G8" s="1">
        <v>500</v>
      </c>
      <c r="H8" s="7">
        <f t="shared" si="0"/>
        <v>295881.33333333331</v>
      </c>
      <c r="J8">
        <f t="shared" si="1"/>
        <v>19.98425975003002</v>
      </c>
      <c r="L8">
        <v>10</v>
      </c>
      <c r="M8" s="1">
        <v>66370</v>
      </c>
      <c r="N8" s="1">
        <v>57968</v>
      </c>
      <c r="O8" s="1"/>
      <c r="P8">
        <f t="shared" si="2"/>
        <v>62169</v>
      </c>
    </row>
    <row r="9" spans="1:17" x14ac:dyDescent="0.25">
      <c r="L9">
        <v>25</v>
      </c>
      <c r="M9" s="1">
        <v>172721</v>
      </c>
      <c r="N9" s="1">
        <v>163229</v>
      </c>
      <c r="O9" s="1"/>
      <c r="P9">
        <f t="shared" si="2"/>
        <v>167975</v>
      </c>
    </row>
    <row r="10" spans="1:17" x14ac:dyDescent="0.25">
      <c r="C10" s="1"/>
      <c r="D10" s="1"/>
      <c r="E10" s="1"/>
      <c r="F10" s="1"/>
      <c r="G10" s="1"/>
      <c r="L10">
        <v>50</v>
      </c>
      <c r="M10" s="1">
        <v>394920</v>
      </c>
      <c r="N10" s="1">
        <v>366729</v>
      </c>
      <c r="P10">
        <f t="shared" si="2"/>
        <v>380824.5</v>
      </c>
    </row>
    <row r="11" spans="1:17" ht="13" thickBot="1" x14ac:dyDescent="0.3">
      <c r="B11" t="s">
        <v>106</v>
      </c>
    </row>
    <row r="12" spans="1:17" x14ac:dyDescent="0.25">
      <c r="A12" s="11" t="s">
        <v>107</v>
      </c>
      <c r="B12" s="12">
        <v>0</v>
      </c>
      <c r="C12" s="24">
        <v>5012.13</v>
      </c>
      <c r="D12" s="24">
        <v>5291.8</v>
      </c>
      <c r="E12" s="24">
        <v>5221.71</v>
      </c>
      <c r="F12" s="1"/>
      <c r="G12" s="1">
        <v>10</v>
      </c>
      <c r="H12" s="7">
        <f>AVERAGE(C12:E12)</f>
        <v>5175.2133333333331</v>
      </c>
      <c r="J12">
        <f>((H12-$O$13)/$O$12)*G12/1000</f>
        <v>8.8440088998914899E-3</v>
      </c>
      <c r="N12" s="16" t="s">
        <v>113</v>
      </c>
      <c r="O12" s="16">
        <f>SLOPE(P3:P10,L3:L10)</f>
        <v>7437.9602339322828</v>
      </c>
    </row>
    <row r="13" spans="1:17" x14ac:dyDescent="0.25">
      <c r="A13" s="13"/>
      <c r="B13">
        <v>0.1</v>
      </c>
      <c r="C13" s="24">
        <v>18727.099999999999</v>
      </c>
      <c r="D13" s="24">
        <v>19603.2</v>
      </c>
      <c r="E13" s="24">
        <v>19529.5</v>
      </c>
      <c r="F13" s="1"/>
      <c r="G13" s="1">
        <v>10</v>
      </c>
      <c r="H13" s="7">
        <f t="shared" ref="H13:H25" si="3">AVERAGE(C13:E13)</f>
        <v>19286.600000000002</v>
      </c>
      <c r="J13">
        <f t="shared" ref="J13:J25" si="4">((H13-$O$13)/$O$12)*G13/1000</f>
        <v>2.7816127898713155E-2</v>
      </c>
      <c r="N13" s="16" t="s">
        <v>114</v>
      </c>
      <c r="O13" s="16">
        <f>INTERCEPT(P3:P10,L3:L10)</f>
        <v>-1402.9253172602766</v>
      </c>
    </row>
    <row r="14" spans="1:17" x14ac:dyDescent="0.25">
      <c r="A14" s="13"/>
      <c r="B14">
        <v>0.25</v>
      </c>
      <c r="C14" s="24">
        <v>51771.3</v>
      </c>
      <c r="D14" s="24">
        <v>55582.3</v>
      </c>
      <c r="E14" s="24">
        <v>54305.1</v>
      </c>
      <c r="F14" s="1"/>
      <c r="G14" s="1">
        <v>10</v>
      </c>
      <c r="H14" s="7">
        <f t="shared" si="3"/>
        <v>53886.233333333337</v>
      </c>
      <c r="J14">
        <f t="shared" si="4"/>
        <v>7.4333764784546952E-2</v>
      </c>
    </row>
    <row r="15" spans="1:17" x14ac:dyDescent="0.25">
      <c r="A15" s="13"/>
      <c r="B15">
        <v>0.5</v>
      </c>
      <c r="C15" s="24">
        <v>171230</v>
      </c>
      <c r="D15" s="24">
        <v>187334</v>
      </c>
      <c r="E15" s="24">
        <v>173914</v>
      </c>
      <c r="F15" s="1"/>
      <c r="G15" s="1">
        <v>10</v>
      </c>
      <c r="H15" s="7">
        <f t="shared" si="3"/>
        <v>177492.66666666666</v>
      </c>
      <c r="J15">
        <f t="shared" si="4"/>
        <v>0.24051700514315449</v>
      </c>
    </row>
    <row r="16" spans="1:17" x14ac:dyDescent="0.25">
      <c r="A16" s="13"/>
      <c r="B16">
        <v>1</v>
      </c>
      <c r="C16" s="24">
        <v>32737.1</v>
      </c>
      <c r="D16" s="24">
        <v>35057.199999999997</v>
      </c>
      <c r="E16" s="24">
        <v>35247.199999999997</v>
      </c>
      <c r="F16" s="1"/>
      <c r="G16" s="1">
        <v>100</v>
      </c>
      <c r="H16" s="7">
        <f t="shared" si="3"/>
        <v>34347.166666666664</v>
      </c>
      <c r="J16">
        <f t="shared" si="4"/>
        <v>0.48064376333760889</v>
      </c>
    </row>
    <row r="17" spans="1:27" x14ac:dyDescent="0.25">
      <c r="A17" s="13"/>
      <c r="B17">
        <v>5</v>
      </c>
      <c r="C17" s="24">
        <v>242867</v>
      </c>
      <c r="D17" s="24">
        <v>263019</v>
      </c>
      <c r="E17" s="24">
        <v>257135</v>
      </c>
      <c r="F17" s="1"/>
      <c r="G17" s="1">
        <v>100</v>
      </c>
      <c r="H17" s="7">
        <f t="shared" si="3"/>
        <v>254340.33333333334</v>
      </c>
      <c r="J17">
        <f t="shared" si="4"/>
        <v>3.4383520563054679</v>
      </c>
    </row>
    <row r="18" spans="1:27" ht="13" thickBot="1" x14ac:dyDescent="0.3">
      <c r="A18" s="14"/>
      <c r="B18" s="15">
        <v>25</v>
      </c>
      <c r="C18" s="24">
        <v>256997</v>
      </c>
      <c r="D18" s="24">
        <v>260857</v>
      </c>
      <c r="E18" s="24">
        <v>258303</v>
      </c>
      <c r="F18" s="1"/>
      <c r="G18" s="1">
        <v>500</v>
      </c>
      <c r="H18" s="7">
        <f t="shared" si="3"/>
        <v>258719</v>
      </c>
      <c r="J18">
        <f t="shared" si="4"/>
        <v>17.486106213002678</v>
      </c>
    </row>
    <row r="19" spans="1:27" x14ac:dyDescent="0.25">
      <c r="A19" s="11" t="s">
        <v>108</v>
      </c>
      <c r="B19" s="12">
        <v>0</v>
      </c>
      <c r="C19" s="25">
        <v>5069.83</v>
      </c>
      <c r="D19" s="25">
        <v>5323.28</v>
      </c>
      <c r="E19" s="25">
        <v>5254.53</v>
      </c>
      <c r="F19" s="1"/>
      <c r="G19" s="1">
        <v>10</v>
      </c>
      <c r="H19" s="7">
        <f t="shared" si="3"/>
        <v>5215.88</v>
      </c>
      <c r="J19">
        <f t="shared" si="4"/>
        <v>8.8986833877721088E-3</v>
      </c>
    </row>
    <row r="20" spans="1:27" x14ac:dyDescent="0.25">
      <c r="A20" s="13"/>
      <c r="B20">
        <v>0.1</v>
      </c>
      <c r="C20" s="25">
        <v>16199.7</v>
      </c>
      <c r="D20" s="25">
        <v>15362.5</v>
      </c>
      <c r="E20" s="25">
        <v>16487.2</v>
      </c>
      <c r="F20" s="1"/>
      <c r="G20" s="1">
        <v>10</v>
      </c>
      <c r="H20" s="7">
        <f t="shared" si="3"/>
        <v>16016.466666666667</v>
      </c>
      <c r="J20">
        <f t="shared" si="4"/>
        <v>2.3419582030647271E-2</v>
      </c>
      <c r="M20" t="s">
        <v>109</v>
      </c>
    </row>
    <row r="21" spans="1:27" x14ac:dyDescent="0.25">
      <c r="A21" s="13"/>
      <c r="B21">
        <v>0.25</v>
      </c>
      <c r="C21" s="25">
        <v>40805.599999999999</v>
      </c>
      <c r="D21" s="25">
        <v>42143.4</v>
      </c>
      <c r="E21" s="25">
        <v>42735.3</v>
      </c>
      <c r="F21" s="1"/>
      <c r="G21" s="1">
        <v>10</v>
      </c>
      <c r="H21" s="7">
        <f t="shared" si="3"/>
        <v>41894.76666666667</v>
      </c>
      <c r="J21">
        <f t="shared" si="4"/>
        <v>5.8211782023788031E-2</v>
      </c>
    </row>
    <row r="22" spans="1:27" x14ac:dyDescent="0.25">
      <c r="A22" s="13"/>
      <c r="B22">
        <v>0.5</v>
      </c>
      <c r="C22" s="25">
        <v>135193</v>
      </c>
      <c r="D22" s="25">
        <v>133033</v>
      </c>
      <c r="E22" s="25">
        <v>137548</v>
      </c>
      <c r="F22" s="1"/>
      <c r="G22" s="1">
        <v>10</v>
      </c>
      <c r="H22" s="7">
        <f t="shared" si="3"/>
        <v>135258</v>
      </c>
      <c r="J22">
        <f t="shared" si="4"/>
        <v>0.18373441241835023</v>
      </c>
    </row>
    <row r="23" spans="1:27" x14ac:dyDescent="0.25">
      <c r="A23" s="13"/>
      <c r="B23">
        <v>1</v>
      </c>
      <c r="C23" s="25">
        <v>32308.7</v>
      </c>
      <c r="D23" s="25">
        <v>31770.7</v>
      </c>
      <c r="E23" s="25">
        <v>32525.3</v>
      </c>
      <c r="F23" s="1"/>
      <c r="G23" s="1">
        <v>100</v>
      </c>
      <c r="H23" s="7">
        <f t="shared" si="3"/>
        <v>32201.566666666666</v>
      </c>
      <c r="J23">
        <f t="shared" si="4"/>
        <v>0.45179714501056162</v>
      </c>
      <c r="AA23" t="s">
        <v>110</v>
      </c>
    </row>
    <row r="24" spans="1:27" x14ac:dyDescent="0.25">
      <c r="A24" s="13"/>
      <c r="B24">
        <v>5</v>
      </c>
      <c r="C24" s="25">
        <v>259826</v>
      </c>
      <c r="D24" s="25">
        <v>254879</v>
      </c>
      <c r="E24" s="25">
        <v>279506</v>
      </c>
      <c r="F24" s="1"/>
      <c r="G24" s="1">
        <v>100</v>
      </c>
      <c r="H24" s="7">
        <f t="shared" si="3"/>
        <v>264737</v>
      </c>
      <c r="J24">
        <f t="shared" si="4"/>
        <v>3.578130521633053</v>
      </c>
    </row>
    <row r="25" spans="1:27" ht="13" thickBot="1" x14ac:dyDescent="0.3">
      <c r="A25" s="14"/>
      <c r="B25" s="15">
        <v>25</v>
      </c>
      <c r="C25" s="25">
        <v>262814</v>
      </c>
      <c r="D25" s="25">
        <v>269264</v>
      </c>
      <c r="E25" s="25">
        <v>267581</v>
      </c>
      <c r="F25" s="1"/>
      <c r="G25" s="1">
        <v>500</v>
      </c>
      <c r="H25" s="7">
        <f t="shared" si="3"/>
        <v>266553</v>
      </c>
      <c r="J25">
        <f t="shared" si="4"/>
        <v>18.012729087662652</v>
      </c>
    </row>
    <row r="26" spans="1:27" x14ac:dyDescent="0.25">
      <c r="C26" s="1"/>
      <c r="D26" s="1"/>
      <c r="E26" s="1"/>
      <c r="F26" s="1"/>
      <c r="G26" s="1"/>
    </row>
    <row r="28" spans="1:27" ht="13" thickBot="1" x14ac:dyDescent="0.3">
      <c r="B28" t="s">
        <v>111</v>
      </c>
    </row>
    <row r="29" spans="1:27" x14ac:dyDescent="0.25">
      <c r="A29" s="11" t="s">
        <v>107</v>
      </c>
      <c r="B29" s="12">
        <v>0</v>
      </c>
      <c r="C29" s="26">
        <v>5111.34</v>
      </c>
      <c r="D29" s="26">
        <v>4798.3100000000004</v>
      </c>
      <c r="E29" s="26">
        <v>4858.0600000000004</v>
      </c>
      <c r="F29" s="1"/>
      <c r="G29" s="1">
        <v>10</v>
      </c>
      <c r="H29" s="7">
        <f t="shared" ref="H29:H42" si="5">AVERAGE(C29:E29)</f>
        <v>4922.5700000000006</v>
      </c>
      <c r="J29">
        <f>((H29-$O$13)/$O$12)*G29/1000</f>
        <v>8.5043414031754378E-3</v>
      </c>
    </row>
    <row r="30" spans="1:27" x14ac:dyDescent="0.25">
      <c r="A30" s="13"/>
      <c r="B30">
        <v>0.1</v>
      </c>
      <c r="C30" s="26">
        <v>4211.04</v>
      </c>
      <c r="D30" s="26">
        <v>3543.14</v>
      </c>
      <c r="E30" s="26">
        <v>3724.01</v>
      </c>
      <c r="F30" s="1"/>
      <c r="G30" s="1">
        <v>10</v>
      </c>
      <c r="H30" s="7">
        <f t="shared" si="5"/>
        <v>3826.0633333333335</v>
      </c>
      <c r="J30">
        <f t="shared" ref="J30:J42" si="6">((H30-$O$13)/$O$12)*G30/1000</f>
        <v>7.030137949297909E-3</v>
      </c>
    </row>
    <row r="31" spans="1:27" x14ac:dyDescent="0.25">
      <c r="A31" s="13"/>
      <c r="B31">
        <v>0.25</v>
      </c>
      <c r="C31" s="26">
        <v>5423.11</v>
      </c>
      <c r="D31" s="26">
        <v>5419.64</v>
      </c>
      <c r="E31" s="26">
        <v>5486.29</v>
      </c>
      <c r="F31" s="1"/>
      <c r="G31" s="1">
        <v>10</v>
      </c>
      <c r="H31" s="7">
        <f t="shared" si="5"/>
        <v>5443.0133333333333</v>
      </c>
      <c r="J31">
        <f t="shared" si="6"/>
        <v>9.2040538471315752E-3</v>
      </c>
    </row>
    <row r="32" spans="1:27" x14ac:dyDescent="0.25">
      <c r="A32" s="13"/>
      <c r="B32">
        <v>0.5</v>
      </c>
      <c r="C32" s="26">
        <v>11993.2</v>
      </c>
      <c r="D32" s="26">
        <v>10242.799999999999</v>
      </c>
      <c r="E32" s="26">
        <v>9164.68</v>
      </c>
      <c r="F32" s="1"/>
      <c r="G32" s="1">
        <v>10</v>
      </c>
      <c r="H32" s="7">
        <f t="shared" si="5"/>
        <v>10466.893333333333</v>
      </c>
      <c r="J32">
        <f t="shared" si="6"/>
        <v>1.5958432523533812E-2</v>
      </c>
    </row>
    <row r="33" spans="1:10" x14ac:dyDescent="0.25">
      <c r="A33" s="13"/>
      <c r="B33">
        <v>1</v>
      </c>
      <c r="C33" s="26">
        <v>6625.32</v>
      </c>
      <c r="D33" s="26">
        <v>6388.6</v>
      </c>
      <c r="E33" s="26">
        <v>6326.98</v>
      </c>
      <c r="F33" s="1"/>
      <c r="G33" s="1">
        <v>100</v>
      </c>
      <c r="H33" s="7">
        <f t="shared" si="5"/>
        <v>6446.9666666666672</v>
      </c>
      <c r="J33">
        <f t="shared" si="6"/>
        <v>0.10553823544411291</v>
      </c>
    </row>
    <row r="34" spans="1:10" x14ac:dyDescent="0.25">
      <c r="A34" s="13"/>
      <c r="B34">
        <v>5</v>
      </c>
      <c r="C34" s="26">
        <v>184090</v>
      </c>
      <c r="D34" s="26">
        <v>204163</v>
      </c>
      <c r="E34" s="26">
        <v>187405</v>
      </c>
      <c r="F34" s="1"/>
      <c r="G34" s="1">
        <v>100</v>
      </c>
      <c r="H34" s="7">
        <f t="shared" si="5"/>
        <v>191886</v>
      </c>
      <c r="J34">
        <f t="shared" si="6"/>
        <v>2.5986818864057404</v>
      </c>
    </row>
    <row r="35" spans="1:10" ht="13" thickBot="1" x14ac:dyDescent="0.3">
      <c r="A35" s="14"/>
      <c r="B35" s="15">
        <v>25</v>
      </c>
      <c r="C35" s="26">
        <v>257520</v>
      </c>
      <c r="D35" s="26">
        <v>260602</v>
      </c>
      <c r="E35" s="26">
        <v>261082</v>
      </c>
      <c r="F35" s="1"/>
      <c r="G35" s="1">
        <v>500</v>
      </c>
      <c r="H35" s="7">
        <f t="shared" si="5"/>
        <v>259734.66666666666</v>
      </c>
      <c r="J35">
        <f t="shared" si="6"/>
        <v>17.554382100122453</v>
      </c>
    </row>
    <row r="36" spans="1:10" x14ac:dyDescent="0.25">
      <c r="A36" s="11" t="s">
        <v>108</v>
      </c>
      <c r="B36" s="12">
        <v>0</v>
      </c>
      <c r="C36" s="27">
        <v>5041.4399999999996</v>
      </c>
      <c r="D36" s="27">
        <v>5258.84</v>
      </c>
      <c r="E36" s="27">
        <v>4729.7</v>
      </c>
      <c r="F36" s="1"/>
      <c r="G36" s="1">
        <v>10</v>
      </c>
      <c r="H36" s="7">
        <f t="shared" si="5"/>
        <v>5009.9933333333329</v>
      </c>
      <c r="J36">
        <f t="shared" si="6"/>
        <v>8.6218781075725701E-3</v>
      </c>
    </row>
    <row r="37" spans="1:10" x14ac:dyDescent="0.25">
      <c r="A37" s="13"/>
      <c r="B37">
        <v>0.1</v>
      </c>
      <c r="C37" s="27">
        <v>3299.65</v>
      </c>
      <c r="D37" s="27">
        <v>3389.41</v>
      </c>
      <c r="E37" s="27">
        <v>3185.26</v>
      </c>
      <c r="F37" s="1"/>
      <c r="G37" s="1">
        <v>10</v>
      </c>
      <c r="H37" s="7">
        <f t="shared" si="5"/>
        <v>3291.44</v>
      </c>
      <c r="J37">
        <f t="shared" si="6"/>
        <v>6.3113611388299551E-3</v>
      </c>
    </row>
    <row r="38" spans="1:10" x14ac:dyDescent="0.25">
      <c r="A38" s="13"/>
      <c r="B38">
        <v>0.25</v>
      </c>
      <c r="C38" s="27">
        <v>4090.48</v>
      </c>
      <c r="D38" s="27">
        <v>3935.79</v>
      </c>
      <c r="E38" s="27">
        <v>4268.87</v>
      </c>
      <c r="F38" s="1"/>
      <c r="G38" s="1">
        <v>10</v>
      </c>
      <c r="H38" s="7">
        <f t="shared" si="5"/>
        <v>4098.38</v>
      </c>
      <c r="J38">
        <f t="shared" si="6"/>
        <v>7.3962553499050641E-3</v>
      </c>
    </row>
    <row r="39" spans="1:10" x14ac:dyDescent="0.25">
      <c r="A39" s="13"/>
      <c r="B39">
        <v>0.5</v>
      </c>
      <c r="C39" s="27">
        <v>5587.59</v>
      </c>
      <c r="D39" s="27">
        <v>5855</v>
      </c>
      <c r="E39" s="27">
        <v>6835.95</v>
      </c>
      <c r="F39" s="1"/>
      <c r="G39" s="1">
        <v>10</v>
      </c>
      <c r="H39" s="7">
        <f t="shared" si="5"/>
        <v>6092.8466666666673</v>
      </c>
      <c r="J39">
        <f t="shared" si="6"/>
        <v>1.007772527437149E-2</v>
      </c>
    </row>
    <row r="40" spans="1:10" x14ac:dyDescent="0.25">
      <c r="A40" s="13"/>
      <c r="B40">
        <v>1</v>
      </c>
      <c r="C40" s="27">
        <v>5245.9</v>
      </c>
      <c r="D40" s="27">
        <v>5424.01</v>
      </c>
      <c r="E40" s="27">
        <v>5256.89</v>
      </c>
      <c r="F40" s="1"/>
      <c r="G40" s="1">
        <v>100</v>
      </c>
      <c r="H40" s="7">
        <f t="shared" si="5"/>
        <v>5308.9333333333334</v>
      </c>
      <c r="J40">
        <f t="shared" si="6"/>
        <v>9.02378937167993E-2</v>
      </c>
    </row>
    <row r="41" spans="1:10" x14ac:dyDescent="0.25">
      <c r="A41" s="13"/>
      <c r="B41">
        <v>5</v>
      </c>
      <c r="C41" s="27">
        <v>177690</v>
      </c>
      <c r="D41" s="27">
        <v>168309</v>
      </c>
      <c r="E41" s="27">
        <v>172676</v>
      </c>
      <c r="F41" s="1"/>
      <c r="G41" s="1">
        <v>100</v>
      </c>
      <c r="H41" s="7">
        <f t="shared" si="5"/>
        <v>172891.66666666666</v>
      </c>
      <c r="J41">
        <f t="shared" si="6"/>
        <v>2.343311694364643</v>
      </c>
    </row>
    <row r="42" spans="1:10" ht="13" thickBot="1" x14ac:dyDescent="0.3">
      <c r="A42" s="14"/>
      <c r="B42" s="15">
        <v>25</v>
      </c>
      <c r="C42" s="27">
        <v>259075</v>
      </c>
      <c r="D42" s="27">
        <v>266565</v>
      </c>
      <c r="E42" s="27">
        <v>271716</v>
      </c>
      <c r="F42" s="1"/>
      <c r="G42" s="1">
        <v>500</v>
      </c>
      <c r="H42" s="7">
        <f t="shared" si="5"/>
        <v>265785.33333333331</v>
      </c>
      <c r="J42">
        <f t="shared" si="6"/>
        <v>17.961124437831064</v>
      </c>
    </row>
    <row r="43" spans="1:10" x14ac:dyDescent="0.25">
      <c r="C43" s="1"/>
      <c r="D43" s="1"/>
      <c r="E43" s="1"/>
      <c r="F43" s="1"/>
      <c r="G43" s="1"/>
    </row>
    <row r="45" spans="1:10" ht="13" thickBot="1" x14ac:dyDescent="0.3">
      <c r="B45" t="s">
        <v>112</v>
      </c>
    </row>
    <row r="46" spans="1:10" x14ac:dyDescent="0.25">
      <c r="A46" s="11" t="s">
        <v>107</v>
      </c>
      <c r="B46" s="12">
        <v>0</v>
      </c>
      <c r="C46" s="28">
        <v>5430.35</v>
      </c>
      <c r="D46" s="28">
        <v>6979.26</v>
      </c>
      <c r="E46" s="28">
        <v>5523.88</v>
      </c>
      <c r="F46" s="1"/>
      <c r="G46" s="1">
        <v>10</v>
      </c>
      <c r="H46" s="7">
        <f t="shared" ref="H46:H59" si="7">AVERAGE(C46:E46)</f>
        <v>5977.8300000000008</v>
      </c>
      <c r="J46">
        <f>((H46-$O$13)/$O$12)*G46/1000</f>
        <v>9.9230905854927332E-3</v>
      </c>
    </row>
    <row r="47" spans="1:10" x14ac:dyDescent="0.25">
      <c r="A47" s="13"/>
      <c r="B47">
        <v>0.1</v>
      </c>
      <c r="C47" s="28">
        <v>2561.46</v>
      </c>
      <c r="D47" s="28">
        <v>3057.99</v>
      </c>
      <c r="E47" s="28">
        <v>2954.17</v>
      </c>
      <c r="F47" s="1"/>
      <c r="G47" s="1">
        <v>10</v>
      </c>
      <c r="H47" s="7">
        <f t="shared" si="7"/>
        <v>2857.873333333333</v>
      </c>
      <c r="J47">
        <f t="shared" ref="J47:J59" si="8">((H47-$O$13)/$O$12)*G47/1000</f>
        <v>5.72845043074534E-3</v>
      </c>
    </row>
    <row r="48" spans="1:10" x14ac:dyDescent="0.25">
      <c r="A48" s="13"/>
      <c r="B48">
        <v>0.25</v>
      </c>
      <c r="C48" s="28">
        <v>2887.91</v>
      </c>
      <c r="D48" s="28">
        <v>2644.22</v>
      </c>
      <c r="E48" s="28">
        <v>2719.23</v>
      </c>
      <c r="F48" s="1"/>
      <c r="G48" s="1">
        <v>10</v>
      </c>
      <c r="H48" s="7">
        <f t="shared" si="7"/>
        <v>2750.4533333333329</v>
      </c>
      <c r="J48">
        <f t="shared" si="8"/>
        <v>5.5840291154633011E-3</v>
      </c>
    </row>
    <row r="49" spans="1:10" x14ac:dyDescent="0.25">
      <c r="A49" s="13"/>
      <c r="B49">
        <v>0.5</v>
      </c>
      <c r="C49" s="28">
        <v>2968.32</v>
      </c>
      <c r="D49" s="28">
        <v>2868.68</v>
      </c>
      <c r="E49" s="28">
        <v>2935.06</v>
      </c>
      <c r="F49" s="1"/>
      <c r="G49" s="1">
        <v>10</v>
      </c>
      <c r="H49" s="7">
        <f t="shared" si="7"/>
        <v>2924.02</v>
      </c>
      <c r="J49">
        <f t="shared" si="8"/>
        <v>5.8173816223439498E-3</v>
      </c>
    </row>
    <row r="50" spans="1:10" x14ac:dyDescent="0.25">
      <c r="A50" s="13"/>
      <c r="B50">
        <v>1</v>
      </c>
      <c r="C50" s="28">
        <v>2990.23</v>
      </c>
      <c r="D50" s="28">
        <v>3437.43</v>
      </c>
      <c r="E50" s="28">
        <v>3388.87</v>
      </c>
      <c r="F50" s="1"/>
      <c r="G50" s="1">
        <v>100</v>
      </c>
      <c r="H50" s="7">
        <f t="shared" si="7"/>
        <v>3272.1766666666663</v>
      </c>
      <c r="J50">
        <f t="shared" si="8"/>
        <v>6.2854624613330606E-2</v>
      </c>
    </row>
    <row r="51" spans="1:10" x14ac:dyDescent="0.25">
      <c r="A51" s="13"/>
      <c r="B51">
        <v>5</v>
      </c>
      <c r="C51" s="28">
        <v>83571.5</v>
      </c>
      <c r="D51" s="28">
        <v>87811</v>
      </c>
      <c r="E51" s="28">
        <v>84138.3</v>
      </c>
      <c r="F51" s="1"/>
      <c r="G51" s="1">
        <v>100</v>
      </c>
      <c r="H51" s="7">
        <f t="shared" si="7"/>
        <v>85173.599999999991</v>
      </c>
      <c r="J51">
        <f t="shared" si="8"/>
        <v>1.1639820944765822</v>
      </c>
    </row>
    <row r="52" spans="1:10" ht="13" thickBot="1" x14ac:dyDescent="0.3">
      <c r="A52" s="14"/>
      <c r="B52" s="15">
        <v>25</v>
      </c>
      <c r="C52" s="28">
        <v>237216</v>
      </c>
      <c r="D52" s="28">
        <v>231895</v>
      </c>
      <c r="E52" s="28">
        <v>232190</v>
      </c>
      <c r="F52" s="1"/>
      <c r="G52" s="1">
        <v>500</v>
      </c>
      <c r="H52" s="7">
        <f t="shared" si="7"/>
        <v>233767</v>
      </c>
      <c r="J52">
        <f t="shared" si="8"/>
        <v>15.808764629071645</v>
      </c>
    </row>
    <row r="53" spans="1:10" x14ac:dyDescent="0.25">
      <c r="A53" s="11" t="s">
        <v>108</v>
      </c>
      <c r="B53" s="12">
        <v>0</v>
      </c>
      <c r="C53" s="29">
        <v>4867.74</v>
      </c>
      <c r="D53" s="29">
        <v>5568.68</v>
      </c>
      <c r="E53" s="29">
        <v>5594.69</v>
      </c>
      <c r="F53" s="1"/>
      <c r="G53" s="1">
        <v>10</v>
      </c>
      <c r="H53" s="7">
        <f t="shared" si="7"/>
        <v>5343.7033333333338</v>
      </c>
      <c r="J53">
        <f t="shared" si="8"/>
        <v>9.0705360588178609E-3</v>
      </c>
    </row>
    <row r="54" spans="1:10" x14ac:dyDescent="0.25">
      <c r="A54" s="13"/>
      <c r="B54">
        <v>0.1</v>
      </c>
      <c r="C54" s="29">
        <v>2802.69</v>
      </c>
      <c r="D54" s="29">
        <v>3062.74</v>
      </c>
      <c r="E54" s="29">
        <v>3579.79</v>
      </c>
      <c r="F54" s="1"/>
      <c r="G54" s="1">
        <v>10</v>
      </c>
      <c r="H54" s="7">
        <f t="shared" si="7"/>
        <v>3148.4066666666672</v>
      </c>
      <c r="J54">
        <f t="shared" si="8"/>
        <v>6.1190593130137742E-3</v>
      </c>
    </row>
    <row r="55" spans="1:10" x14ac:dyDescent="0.25">
      <c r="A55" s="13"/>
      <c r="B55">
        <v>0.25</v>
      </c>
      <c r="C55" s="29">
        <v>2882.7</v>
      </c>
      <c r="D55" s="29">
        <v>2997.65</v>
      </c>
      <c r="E55" s="29">
        <v>4031.02</v>
      </c>
      <c r="F55" s="1"/>
      <c r="G55" s="1">
        <v>10</v>
      </c>
      <c r="H55" s="7">
        <f t="shared" si="7"/>
        <v>3303.7900000000004</v>
      </c>
      <c r="J55">
        <f t="shared" si="8"/>
        <v>6.3279651533871438E-3</v>
      </c>
    </row>
    <row r="56" spans="1:10" x14ac:dyDescent="0.25">
      <c r="A56" s="13"/>
      <c r="B56">
        <v>0.5</v>
      </c>
      <c r="C56" s="29">
        <v>3147.18</v>
      </c>
      <c r="D56" s="29">
        <v>3042.32</v>
      </c>
      <c r="E56" s="29">
        <v>6416.72</v>
      </c>
      <c r="F56" s="1"/>
      <c r="G56" s="1">
        <v>10</v>
      </c>
      <c r="H56" s="7">
        <f t="shared" si="7"/>
        <v>4202.0733333333337</v>
      </c>
      <c r="J56">
        <f t="shared" si="8"/>
        <v>7.535666330969846E-3</v>
      </c>
    </row>
    <row r="57" spans="1:10" x14ac:dyDescent="0.25">
      <c r="A57" s="13"/>
      <c r="B57">
        <v>1</v>
      </c>
      <c r="C57" s="29">
        <v>2897.51</v>
      </c>
      <c r="D57" s="29">
        <v>3065.62</v>
      </c>
      <c r="E57" s="29">
        <v>3631.07</v>
      </c>
      <c r="F57" s="1"/>
      <c r="G57" s="1">
        <v>100</v>
      </c>
      <c r="H57" s="7">
        <f t="shared" si="7"/>
        <v>3198.0666666666671</v>
      </c>
      <c r="J57">
        <f t="shared" si="8"/>
        <v>6.1858249294437312E-2</v>
      </c>
    </row>
    <row r="58" spans="1:10" x14ac:dyDescent="0.25">
      <c r="A58" s="13"/>
      <c r="B58">
        <v>5</v>
      </c>
      <c r="C58" s="29">
        <v>5983.98</v>
      </c>
      <c r="D58" s="29">
        <v>4696.8900000000003</v>
      </c>
      <c r="E58" s="29">
        <v>7580.86</v>
      </c>
      <c r="F58" s="1"/>
      <c r="G58" s="1">
        <v>100</v>
      </c>
      <c r="H58" s="7">
        <f t="shared" si="7"/>
        <v>6087.2433333333329</v>
      </c>
      <c r="J58">
        <f t="shared" si="8"/>
        <v>0.10070191846984003</v>
      </c>
    </row>
    <row r="59" spans="1:10" ht="13" thickBot="1" x14ac:dyDescent="0.3">
      <c r="A59" s="14"/>
      <c r="B59" s="15">
        <v>25</v>
      </c>
      <c r="C59" s="29">
        <v>231962</v>
      </c>
      <c r="D59" s="29">
        <v>239520</v>
      </c>
      <c r="E59" s="29">
        <v>245426</v>
      </c>
      <c r="F59" s="1"/>
      <c r="G59" s="1">
        <v>500</v>
      </c>
      <c r="H59" s="7">
        <f t="shared" si="7"/>
        <v>238969.33333333334</v>
      </c>
      <c r="J59">
        <f t="shared" si="8"/>
        <v>16.158479683314617</v>
      </c>
    </row>
    <row r="60" spans="1:10" x14ac:dyDescent="0.25">
      <c r="C60" s="1"/>
      <c r="D60" s="1"/>
      <c r="E60" s="1"/>
      <c r="F60" s="1"/>
      <c r="G60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uminescence 1_01"/>
  <dimension ref="A1:Y46"/>
  <sheetViews>
    <sheetView workbookViewId="0">
      <selection activeCell="W15" sqref="W15:X19"/>
    </sheetView>
  </sheetViews>
  <sheetFormatPr defaultColWidth="9.1796875" defaultRowHeight="15" customHeight="1" x14ac:dyDescent="0.25"/>
  <cols>
    <col min="1" max="1" width="25.7265625" customWidth="1"/>
    <col min="2" max="24" width="8.81640625" customWidth="1"/>
    <col min="25" max="25" width="4.1796875" customWidth="1"/>
  </cols>
  <sheetData>
    <row r="1" spans="1:25" ht="15" customHeight="1" x14ac:dyDescent="0.25">
      <c r="A1" t="s">
        <v>0</v>
      </c>
    </row>
    <row r="2" spans="1:25" ht="15" customHeight="1" x14ac:dyDescent="0.25">
      <c r="A2" t="s">
        <v>1</v>
      </c>
    </row>
    <row r="3" spans="1:25" ht="15" customHeight="1" x14ac:dyDescent="0.25">
      <c r="A3" t="s">
        <v>2</v>
      </c>
    </row>
    <row r="4" spans="1:25" ht="15" customHeight="1" x14ac:dyDescent="0.25">
      <c r="A4" t="s">
        <v>3</v>
      </c>
    </row>
    <row r="5" spans="1:25" ht="15" customHeight="1" x14ac:dyDescent="0.25">
      <c r="A5" t="s">
        <v>4</v>
      </c>
    </row>
    <row r="6" spans="1:25" ht="15" customHeight="1" x14ac:dyDescent="0.25">
      <c r="A6" t="s">
        <v>5</v>
      </c>
    </row>
    <row r="7" spans="1:25" ht="15" customHeight="1" x14ac:dyDescent="0.25">
      <c r="A7" t="s">
        <v>3</v>
      </c>
    </row>
    <row r="8" spans="1:25" ht="15" customHeight="1" x14ac:dyDescent="0.25">
      <c r="A8" t="s">
        <v>6</v>
      </c>
    </row>
    <row r="9" spans="1:25" ht="15" customHeight="1" x14ac:dyDescent="0.25">
      <c r="A9" t="s">
        <v>3</v>
      </c>
    </row>
    <row r="10" spans="1:25" ht="15" customHeight="1" x14ac:dyDescent="0.25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</row>
    <row r="11" spans="1:25" ht="15" customHeight="1" x14ac:dyDescent="0.25">
      <c r="A11" t="s">
        <v>8</v>
      </c>
      <c r="B11" s="17">
        <v>3956.47</v>
      </c>
      <c r="C11" s="17">
        <v>3802.87</v>
      </c>
      <c r="D11" s="17">
        <v>3542.81</v>
      </c>
      <c r="E11" s="18">
        <v>3506.47</v>
      </c>
      <c r="F11" s="18">
        <v>3055.23</v>
      </c>
      <c r="G11" s="18">
        <v>3130.14</v>
      </c>
      <c r="H11" s="19">
        <v>3696.65</v>
      </c>
      <c r="I11" s="19">
        <v>3658.31</v>
      </c>
      <c r="J11" s="19">
        <v>3946.35</v>
      </c>
      <c r="K11" s="20">
        <v>3204.08</v>
      </c>
      <c r="L11" s="20">
        <v>3210.74</v>
      </c>
      <c r="M11" s="20">
        <v>2861.96</v>
      </c>
      <c r="N11" s="21">
        <v>3965.27</v>
      </c>
      <c r="O11" s="21">
        <v>3775.19</v>
      </c>
      <c r="P11" s="21">
        <v>4000.28</v>
      </c>
      <c r="Q11" s="22">
        <v>3398.8</v>
      </c>
      <c r="R11" s="22">
        <v>2653.58</v>
      </c>
      <c r="S11" s="22">
        <v>2504.27</v>
      </c>
      <c r="T11" s="23">
        <v>4565.0600000000004</v>
      </c>
      <c r="U11" s="23">
        <v>4820.66</v>
      </c>
      <c r="V11" s="23">
        <v>4460.6899999999996</v>
      </c>
      <c r="W11" s="1">
        <v>2731.06</v>
      </c>
      <c r="X11" s="1">
        <v>2526.84</v>
      </c>
    </row>
    <row r="12" spans="1:25" ht="15" customHeight="1" x14ac:dyDescent="0.25">
      <c r="A12" t="s">
        <v>9</v>
      </c>
      <c r="B12" s="17">
        <v>35269.800000000003</v>
      </c>
      <c r="C12" s="17">
        <v>36112</v>
      </c>
      <c r="D12" s="17">
        <v>33299.699999999997</v>
      </c>
      <c r="E12" s="18">
        <v>26495.200000000001</v>
      </c>
      <c r="F12" s="18">
        <v>23853.200000000001</v>
      </c>
      <c r="G12" s="18">
        <v>24646.9</v>
      </c>
      <c r="H12" s="19">
        <v>21594.7</v>
      </c>
      <c r="I12" s="19">
        <v>20274.3</v>
      </c>
      <c r="J12" s="19">
        <v>17665.3</v>
      </c>
      <c r="K12" s="20">
        <v>14926.3</v>
      </c>
      <c r="L12" s="20">
        <v>12049.2</v>
      </c>
      <c r="M12" s="20">
        <v>11553.4</v>
      </c>
      <c r="N12" s="21">
        <v>8458.7800000000007</v>
      </c>
      <c r="O12" s="21">
        <v>8238.51</v>
      </c>
      <c r="P12" s="21">
        <v>7108.64</v>
      </c>
      <c r="Q12" s="22">
        <v>5166.93</v>
      </c>
      <c r="R12" s="22">
        <v>4823.84</v>
      </c>
      <c r="S12" s="22">
        <v>4928.93</v>
      </c>
      <c r="T12" s="23">
        <v>59455.8</v>
      </c>
      <c r="U12" s="23">
        <v>62865.1</v>
      </c>
      <c r="V12" s="23">
        <v>59412</v>
      </c>
      <c r="W12" s="1">
        <v>3963.86</v>
      </c>
      <c r="X12" s="1">
        <v>2406.38</v>
      </c>
    </row>
    <row r="13" spans="1:25" ht="15" customHeight="1" x14ac:dyDescent="0.25">
      <c r="A13" t="s">
        <v>10</v>
      </c>
      <c r="B13" s="17">
        <v>83701.5</v>
      </c>
      <c r="C13" s="17">
        <v>90310.9</v>
      </c>
      <c r="D13" s="17">
        <v>92149.6</v>
      </c>
      <c r="E13" s="18">
        <v>67308.3</v>
      </c>
      <c r="F13" s="18">
        <v>56092.7</v>
      </c>
      <c r="G13" s="18">
        <v>60220.3</v>
      </c>
      <c r="H13" s="19">
        <v>51056.1</v>
      </c>
      <c r="I13" s="19">
        <v>45529.4</v>
      </c>
      <c r="J13" s="19">
        <v>37217.199999999997</v>
      </c>
      <c r="K13" s="20">
        <v>30515.5</v>
      </c>
      <c r="L13" s="20">
        <v>21179.5</v>
      </c>
      <c r="M13" s="20">
        <v>21816.400000000001</v>
      </c>
      <c r="N13" s="21">
        <v>11600.8</v>
      </c>
      <c r="O13" s="21">
        <v>11321.6</v>
      </c>
      <c r="P13" s="21">
        <v>9836.83</v>
      </c>
      <c r="Q13" s="22">
        <v>8143.85</v>
      </c>
      <c r="R13" s="22">
        <v>6786.54</v>
      </c>
      <c r="S13" s="22">
        <v>7349.17</v>
      </c>
      <c r="T13" s="23">
        <v>154835</v>
      </c>
      <c r="U13" s="23">
        <v>172576</v>
      </c>
      <c r="V13" s="23">
        <v>159819</v>
      </c>
      <c r="W13" s="1">
        <v>5307.86</v>
      </c>
      <c r="X13" s="1">
        <v>2656.51</v>
      </c>
    </row>
    <row r="14" spans="1:25" ht="15" customHeight="1" x14ac:dyDescent="0.25">
      <c r="A14" t="s">
        <v>11</v>
      </c>
      <c r="B14" s="17">
        <v>205133</v>
      </c>
      <c r="C14" s="17">
        <v>221995</v>
      </c>
      <c r="D14" s="17">
        <v>215802</v>
      </c>
      <c r="E14" s="18">
        <v>178233</v>
      </c>
      <c r="F14" s="18">
        <v>144859</v>
      </c>
      <c r="G14" s="18">
        <v>156539</v>
      </c>
      <c r="H14" s="19">
        <v>142789</v>
      </c>
      <c r="I14" s="19">
        <v>130558</v>
      </c>
      <c r="J14" s="19">
        <v>119742</v>
      </c>
      <c r="K14" s="20">
        <v>75727</v>
      </c>
      <c r="L14" s="20">
        <v>59554</v>
      </c>
      <c r="M14" s="20">
        <v>50120.7</v>
      </c>
      <c r="N14" s="21">
        <v>24954.1</v>
      </c>
      <c r="O14" s="21">
        <v>22882.400000000001</v>
      </c>
      <c r="P14" s="21">
        <v>18436</v>
      </c>
      <c r="Q14" s="22">
        <v>11164.9</v>
      </c>
      <c r="R14" s="22">
        <v>9290.52</v>
      </c>
      <c r="S14" s="22">
        <v>11260.4</v>
      </c>
      <c r="T14" s="23">
        <v>349841</v>
      </c>
      <c r="U14" s="23">
        <v>387046</v>
      </c>
      <c r="V14" s="23">
        <v>380574</v>
      </c>
      <c r="W14" s="1">
        <v>9145.01</v>
      </c>
      <c r="X14" s="1">
        <v>3336.73</v>
      </c>
    </row>
    <row r="15" spans="1:25" ht="15" customHeight="1" x14ac:dyDescent="0.25">
      <c r="A15" t="s">
        <v>12</v>
      </c>
      <c r="B15" s="17">
        <v>40031.599999999999</v>
      </c>
      <c r="C15" s="17">
        <v>43187.8</v>
      </c>
      <c r="D15" s="17">
        <v>42001</v>
      </c>
      <c r="E15" s="18">
        <v>39507</v>
      </c>
      <c r="F15" s="18">
        <v>37045.800000000003</v>
      </c>
      <c r="G15" s="18">
        <v>39078.199999999997</v>
      </c>
      <c r="H15" s="19">
        <v>36432.1</v>
      </c>
      <c r="I15" s="19">
        <v>37364.699999999997</v>
      </c>
      <c r="J15" s="19">
        <v>35199.599999999999</v>
      </c>
      <c r="K15" s="20">
        <v>29976</v>
      </c>
      <c r="L15" s="20">
        <v>26186.2</v>
      </c>
      <c r="M15" s="20">
        <v>21193.7</v>
      </c>
      <c r="N15" s="21">
        <v>18904.400000000001</v>
      </c>
      <c r="O15" s="21">
        <v>14122.5</v>
      </c>
      <c r="P15" s="21">
        <v>11014.7</v>
      </c>
      <c r="Q15" s="22">
        <v>11233.2</v>
      </c>
      <c r="R15" s="22">
        <v>6305.79</v>
      </c>
      <c r="S15" s="22">
        <v>7175.69</v>
      </c>
      <c r="T15" s="23">
        <v>60224.7</v>
      </c>
      <c r="U15" s="23">
        <v>65047.8</v>
      </c>
      <c r="V15" s="23">
        <v>63141</v>
      </c>
      <c r="W15" s="1">
        <v>6599.42</v>
      </c>
      <c r="X15" s="1">
        <v>5147.79</v>
      </c>
    </row>
    <row r="16" spans="1:25" ht="15" customHeight="1" x14ac:dyDescent="0.25">
      <c r="A16" t="s">
        <v>13</v>
      </c>
      <c r="B16" s="17">
        <v>236484</v>
      </c>
      <c r="C16" s="17">
        <v>259831</v>
      </c>
      <c r="D16" s="17">
        <v>243404</v>
      </c>
      <c r="E16" s="18">
        <v>251940</v>
      </c>
      <c r="F16" s="18">
        <v>235914</v>
      </c>
      <c r="G16" s="18">
        <v>264529</v>
      </c>
      <c r="H16" s="19">
        <v>239919</v>
      </c>
      <c r="I16" s="19">
        <v>259412</v>
      </c>
      <c r="J16" s="19">
        <v>255883</v>
      </c>
      <c r="K16" s="20">
        <v>238833</v>
      </c>
      <c r="L16" s="20">
        <v>224563</v>
      </c>
      <c r="M16" s="20">
        <v>240582</v>
      </c>
      <c r="N16" s="21">
        <v>214077</v>
      </c>
      <c r="O16" s="21">
        <v>245053</v>
      </c>
      <c r="P16" s="21">
        <v>222571</v>
      </c>
      <c r="Q16" s="22">
        <v>164295</v>
      </c>
      <c r="R16" s="22">
        <v>153619</v>
      </c>
      <c r="S16" s="22">
        <v>185782</v>
      </c>
      <c r="T16" s="23">
        <v>303505</v>
      </c>
      <c r="U16" s="23">
        <v>329964</v>
      </c>
      <c r="V16" s="23">
        <v>320549</v>
      </c>
      <c r="W16" s="1">
        <v>18235.5</v>
      </c>
      <c r="X16" s="1">
        <v>12321.9</v>
      </c>
    </row>
    <row r="17" spans="1:25" ht="15" customHeight="1" x14ac:dyDescent="0.25">
      <c r="A17" t="s">
        <v>14</v>
      </c>
      <c r="B17" s="17">
        <v>221849</v>
      </c>
      <c r="C17" s="17">
        <v>251537</v>
      </c>
      <c r="D17" s="17">
        <v>238218</v>
      </c>
      <c r="E17" s="18">
        <v>243850</v>
      </c>
      <c r="F17" s="18">
        <v>236678</v>
      </c>
      <c r="G17" s="18">
        <v>261463</v>
      </c>
      <c r="H17" s="19">
        <v>241581</v>
      </c>
      <c r="I17" s="19">
        <v>253620</v>
      </c>
      <c r="J17" s="19">
        <v>252093</v>
      </c>
      <c r="K17" s="20">
        <v>253413</v>
      </c>
      <c r="L17" s="20">
        <v>250863</v>
      </c>
      <c r="M17" s="20">
        <v>262214</v>
      </c>
      <c r="N17" s="21">
        <v>265359</v>
      </c>
      <c r="O17" s="21">
        <v>288860</v>
      </c>
      <c r="P17" s="21">
        <v>281503</v>
      </c>
      <c r="Q17" s="22">
        <v>272578</v>
      </c>
      <c r="R17" s="22">
        <v>262584</v>
      </c>
      <c r="S17" s="22">
        <v>281316</v>
      </c>
      <c r="T17" s="23">
        <v>300687</v>
      </c>
      <c r="U17" s="23">
        <v>317452</v>
      </c>
      <c r="V17" s="23">
        <v>305346</v>
      </c>
      <c r="W17" s="1">
        <v>66370</v>
      </c>
      <c r="X17" s="1">
        <v>57968</v>
      </c>
    </row>
    <row r="18" spans="1:25" ht="15" customHeight="1" x14ac:dyDescent="0.25">
      <c r="A18" t="s">
        <v>15</v>
      </c>
      <c r="B18" s="24">
        <v>5012.13</v>
      </c>
      <c r="C18" s="24">
        <v>5291.8</v>
      </c>
      <c r="D18" s="24">
        <v>5221.71</v>
      </c>
      <c r="E18" s="25">
        <v>5069.83</v>
      </c>
      <c r="F18" s="25">
        <v>5323.28</v>
      </c>
      <c r="G18" s="25">
        <v>5254.53</v>
      </c>
      <c r="H18" s="26">
        <v>5111.34</v>
      </c>
      <c r="I18" s="26">
        <v>4798.3100000000004</v>
      </c>
      <c r="J18" s="26">
        <v>4858.0600000000004</v>
      </c>
      <c r="K18" s="27">
        <v>5041.4399999999996</v>
      </c>
      <c r="L18" s="27">
        <v>5258.84</v>
      </c>
      <c r="M18" s="27">
        <v>4729.7</v>
      </c>
      <c r="N18" s="28">
        <v>5430.35</v>
      </c>
      <c r="O18" s="28">
        <v>6979.26</v>
      </c>
      <c r="P18" s="28">
        <v>5523.88</v>
      </c>
      <c r="Q18" s="29">
        <v>4867.74</v>
      </c>
      <c r="R18" s="29">
        <v>5568.68</v>
      </c>
      <c r="S18" s="29">
        <v>5594.69</v>
      </c>
      <c r="T18" s="30">
        <v>7432.04</v>
      </c>
      <c r="U18" s="30">
        <v>7579.49</v>
      </c>
      <c r="V18" s="30">
        <v>9372.74</v>
      </c>
      <c r="W18" s="1">
        <v>172721</v>
      </c>
      <c r="X18" s="1">
        <v>163229</v>
      </c>
    </row>
    <row r="19" spans="1:25" ht="15" customHeight="1" x14ac:dyDescent="0.25">
      <c r="A19" t="s">
        <v>16</v>
      </c>
      <c r="B19" s="24">
        <v>18727.099999999999</v>
      </c>
      <c r="C19" s="24">
        <v>19603.2</v>
      </c>
      <c r="D19" s="24">
        <v>19529.5</v>
      </c>
      <c r="E19" s="25">
        <v>16199.7</v>
      </c>
      <c r="F19" s="25">
        <v>15362.5</v>
      </c>
      <c r="G19" s="25">
        <v>16487.2</v>
      </c>
      <c r="H19" s="26">
        <v>4211.04</v>
      </c>
      <c r="I19" s="26">
        <v>3543.14</v>
      </c>
      <c r="J19" s="26">
        <v>3724.01</v>
      </c>
      <c r="K19" s="27">
        <v>3299.65</v>
      </c>
      <c r="L19" s="27">
        <v>3389.41</v>
      </c>
      <c r="M19" s="27">
        <v>3185.26</v>
      </c>
      <c r="N19" s="28">
        <v>2561.46</v>
      </c>
      <c r="O19" s="28">
        <v>3057.99</v>
      </c>
      <c r="P19" s="28">
        <v>2954.17</v>
      </c>
      <c r="Q19" s="29">
        <v>2802.69</v>
      </c>
      <c r="R19" s="29">
        <v>3062.74</v>
      </c>
      <c r="S19" s="29">
        <v>3579.79</v>
      </c>
      <c r="T19" s="30">
        <v>44984</v>
      </c>
      <c r="U19" s="30">
        <v>49448.4</v>
      </c>
      <c r="V19" s="30">
        <v>50249.7</v>
      </c>
      <c r="W19" s="1">
        <v>394920</v>
      </c>
      <c r="X19" s="1">
        <v>366729</v>
      </c>
    </row>
    <row r="20" spans="1:25" ht="15" customHeight="1" x14ac:dyDescent="0.25">
      <c r="A20" t="s">
        <v>17</v>
      </c>
      <c r="B20" s="24">
        <v>51771.3</v>
      </c>
      <c r="C20" s="24">
        <v>55582.3</v>
      </c>
      <c r="D20" s="24">
        <v>54305.1</v>
      </c>
      <c r="E20" s="25">
        <v>40805.599999999999</v>
      </c>
      <c r="F20" s="25">
        <v>42143.4</v>
      </c>
      <c r="G20" s="25">
        <v>42735.3</v>
      </c>
      <c r="H20" s="26">
        <v>5423.11</v>
      </c>
      <c r="I20" s="26">
        <v>5419.64</v>
      </c>
      <c r="J20" s="26">
        <v>5486.29</v>
      </c>
      <c r="K20" s="27">
        <v>4090.48</v>
      </c>
      <c r="L20" s="27">
        <v>3935.79</v>
      </c>
      <c r="M20" s="27">
        <v>4268.87</v>
      </c>
      <c r="N20" s="28">
        <v>2887.91</v>
      </c>
      <c r="O20" s="28">
        <v>2644.22</v>
      </c>
      <c r="P20" s="28">
        <v>2719.23</v>
      </c>
      <c r="Q20" s="29">
        <v>2882.7</v>
      </c>
      <c r="R20" s="29">
        <v>2997.65</v>
      </c>
      <c r="S20" s="29">
        <v>4031.02</v>
      </c>
      <c r="T20" s="30">
        <v>130368</v>
      </c>
      <c r="U20" s="30">
        <v>142043</v>
      </c>
      <c r="V20" s="30">
        <v>136004</v>
      </c>
    </row>
    <row r="21" spans="1:25" ht="12.5" x14ac:dyDescent="0.25">
      <c r="A21" t="s">
        <v>18</v>
      </c>
      <c r="B21" s="24">
        <v>171230</v>
      </c>
      <c r="C21" s="24">
        <v>187334</v>
      </c>
      <c r="D21" s="24">
        <v>173914</v>
      </c>
      <c r="E21" s="25">
        <v>135193</v>
      </c>
      <c r="F21" s="25">
        <v>133033</v>
      </c>
      <c r="G21" s="25">
        <v>137548</v>
      </c>
      <c r="H21" s="26">
        <v>11993.2</v>
      </c>
      <c r="I21" s="26">
        <v>10242.799999999999</v>
      </c>
      <c r="J21" s="26">
        <v>9164.68</v>
      </c>
      <c r="K21" s="27">
        <v>5587.59</v>
      </c>
      <c r="L21" s="27">
        <v>5855</v>
      </c>
      <c r="M21" s="27">
        <v>6835.95</v>
      </c>
      <c r="N21" s="28">
        <v>2968.32</v>
      </c>
      <c r="O21" s="28">
        <v>2868.68</v>
      </c>
      <c r="P21" s="28">
        <v>2935.06</v>
      </c>
      <c r="Q21" s="29">
        <v>3147.18</v>
      </c>
      <c r="R21" s="29">
        <v>3042.32</v>
      </c>
      <c r="S21" s="29">
        <v>6416.72</v>
      </c>
      <c r="T21" s="30">
        <v>359918</v>
      </c>
      <c r="U21" s="30">
        <v>386059</v>
      </c>
      <c r="V21" s="30">
        <v>370685</v>
      </c>
    </row>
    <row r="22" spans="1:25" ht="12.5" x14ac:dyDescent="0.25">
      <c r="A22" t="s">
        <v>19</v>
      </c>
      <c r="B22" s="24">
        <v>32737.1</v>
      </c>
      <c r="C22" s="24">
        <v>35057.199999999997</v>
      </c>
      <c r="D22" s="24">
        <v>35247.199999999997</v>
      </c>
      <c r="E22" s="25">
        <v>32308.7</v>
      </c>
      <c r="F22" s="25">
        <v>31770.7</v>
      </c>
      <c r="G22" s="25">
        <v>32525.3</v>
      </c>
      <c r="H22" s="26">
        <v>6625.32</v>
      </c>
      <c r="I22" s="26">
        <v>6388.6</v>
      </c>
      <c r="J22" s="26">
        <v>6326.98</v>
      </c>
      <c r="K22" s="27">
        <v>5245.9</v>
      </c>
      <c r="L22" s="27">
        <v>5424.01</v>
      </c>
      <c r="M22" s="27">
        <v>5256.89</v>
      </c>
      <c r="N22" s="28">
        <v>2990.23</v>
      </c>
      <c r="O22" s="28">
        <v>3437.43</v>
      </c>
      <c r="P22" s="28">
        <v>3388.87</v>
      </c>
      <c r="Q22" s="29">
        <v>2897.51</v>
      </c>
      <c r="R22" s="29">
        <v>3065.62</v>
      </c>
      <c r="S22" s="29">
        <v>3631.07</v>
      </c>
      <c r="T22" s="30">
        <v>53474.6</v>
      </c>
      <c r="U22" s="30">
        <v>56217.9</v>
      </c>
      <c r="V22" s="30">
        <v>53902</v>
      </c>
    </row>
    <row r="23" spans="1:25" ht="12.5" x14ac:dyDescent="0.25">
      <c r="A23" t="s">
        <v>20</v>
      </c>
      <c r="B23" s="24">
        <v>242867</v>
      </c>
      <c r="C23" s="24">
        <v>263019</v>
      </c>
      <c r="D23" s="24">
        <v>257135</v>
      </c>
      <c r="E23" s="25">
        <v>259826</v>
      </c>
      <c r="F23" s="25">
        <v>254879</v>
      </c>
      <c r="G23" s="25">
        <v>279506</v>
      </c>
      <c r="H23" s="26">
        <v>184090</v>
      </c>
      <c r="I23" s="26">
        <v>204163</v>
      </c>
      <c r="J23" s="26">
        <v>187405</v>
      </c>
      <c r="K23" s="27">
        <v>177690</v>
      </c>
      <c r="L23" s="27">
        <v>168309</v>
      </c>
      <c r="M23" s="27">
        <v>172676</v>
      </c>
      <c r="N23" s="28">
        <v>83571.5</v>
      </c>
      <c r="O23" s="28">
        <v>87811</v>
      </c>
      <c r="P23" s="28">
        <v>84138.3</v>
      </c>
      <c r="Q23" s="29">
        <v>5983.98</v>
      </c>
      <c r="R23" s="29">
        <v>4696.8900000000003</v>
      </c>
      <c r="S23" s="29">
        <v>7580.86</v>
      </c>
      <c r="T23" s="30">
        <v>360795</v>
      </c>
      <c r="U23" s="30">
        <v>359995</v>
      </c>
      <c r="V23" s="30">
        <v>349219</v>
      </c>
    </row>
    <row r="24" spans="1:25" ht="12.5" x14ac:dyDescent="0.25">
      <c r="A24" t="s">
        <v>21</v>
      </c>
      <c r="B24" s="24">
        <v>256997</v>
      </c>
      <c r="C24" s="24">
        <v>260857</v>
      </c>
      <c r="D24" s="24">
        <v>258303</v>
      </c>
      <c r="E24" s="25">
        <v>262814</v>
      </c>
      <c r="F24" s="25">
        <v>269264</v>
      </c>
      <c r="G24" s="25">
        <v>267581</v>
      </c>
      <c r="H24" s="26">
        <v>257520</v>
      </c>
      <c r="I24" s="26">
        <v>260602</v>
      </c>
      <c r="J24" s="26">
        <v>261082</v>
      </c>
      <c r="K24" s="27">
        <v>259075</v>
      </c>
      <c r="L24" s="27">
        <v>266565</v>
      </c>
      <c r="M24" s="27">
        <v>271716</v>
      </c>
      <c r="N24" s="28">
        <v>237216</v>
      </c>
      <c r="O24" s="28">
        <v>231895</v>
      </c>
      <c r="P24" s="28">
        <v>232190</v>
      </c>
      <c r="Q24" s="29">
        <v>231962</v>
      </c>
      <c r="R24" s="29">
        <v>239520</v>
      </c>
      <c r="S24" s="29">
        <v>245426</v>
      </c>
      <c r="T24" s="30">
        <v>300711</v>
      </c>
      <c r="U24" s="30">
        <v>299128</v>
      </c>
      <c r="V24" s="30">
        <v>287805</v>
      </c>
    </row>
    <row r="25" spans="1:25" ht="12.5" x14ac:dyDescent="0.25">
      <c r="A25" t="s">
        <v>22</v>
      </c>
    </row>
    <row r="26" spans="1:25" ht="12.5" x14ac:dyDescent="0.25">
      <c r="A26" t="s">
        <v>23</v>
      </c>
    </row>
    <row r="27" spans="1:25" ht="12.5" x14ac:dyDescent="0.25"/>
    <row r="28" spans="1:25" ht="12.5" x14ac:dyDescent="0.25">
      <c r="A28" t="s">
        <v>24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  <c r="L28" s="1">
        <v>11</v>
      </c>
      <c r="M28" s="1">
        <v>12</v>
      </c>
      <c r="N28" s="1">
        <v>13</v>
      </c>
      <c r="O28" s="1">
        <v>14</v>
      </c>
      <c r="P28" s="1">
        <v>15</v>
      </c>
      <c r="Q28" s="1">
        <v>16</v>
      </c>
      <c r="R28" s="1">
        <v>17</v>
      </c>
      <c r="S28" s="1">
        <v>18</v>
      </c>
      <c r="T28" s="1">
        <v>19</v>
      </c>
      <c r="U28" s="1">
        <v>20</v>
      </c>
      <c r="V28" s="1">
        <v>21</v>
      </c>
      <c r="W28" s="1">
        <v>22</v>
      </c>
      <c r="X28" s="1">
        <v>23</v>
      </c>
      <c r="Y28" s="1">
        <v>24</v>
      </c>
    </row>
    <row r="29" spans="1:25" ht="12.5" x14ac:dyDescent="0.25">
      <c r="A29" t="s">
        <v>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</row>
    <row r="30" spans="1:25" ht="12.5" x14ac:dyDescent="0.25">
      <c r="A30" t="s">
        <v>9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</row>
    <row r="31" spans="1:25" ht="12.5" x14ac:dyDescent="0.25">
      <c r="A31" t="s">
        <v>10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</row>
    <row r="32" spans="1:25" ht="12.5" x14ac:dyDescent="0.25">
      <c r="A32" t="s">
        <v>11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</row>
    <row r="33" spans="1:24" ht="12.5" x14ac:dyDescent="0.25">
      <c r="A33" t="s">
        <v>12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</row>
    <row r="34" spans="1:24" ht="12.5" x14ac:dyDescent="0.25">
      <c r="A34" t="s">
        <v>13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</row>
    <row r="35" spans="1:24" ht="12.5" x14ac:dyDescent="0.25">
      <c r="A35" t="s">
        <v>14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</row>
    <row r="36" spans="1:24" ht="12.5" x14ac:dyDescent="0.25">
      <c r="A36" t="s">
        <v>15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</row>
    <row r="37" spans="1:24" ht="12.5" x14ac:dyDescent="0.25">
      <c r="A37" t="s">
        <v>16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</row>
    <row r="38" spans="1:24" ht="12.5" x14ac:dyDescent="0.25">
      <c r="A38" t="s">
        <v>17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4" ht="12.5" x14ac:dyDescent="0.25">
      <c r="A39" t="s">
        <v>18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4" ht="12.5" x14ac:dyDescent="0.25">
      <c r="A40" t="s">
        <v>19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4" ht="12.5" x14ac:dyDescent="0.25">
      <c r="A41" t="s">
        <v>20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4" ht="12.5" x14ac:dyDescent="0.25">
      <c r="A42" t="s">
        <v>21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4" ht="12.5" x14ac:dyDescent="0.25">
      <c r="A43" t="s">
        <v>22</v>
      </c>
    </row>
    <row r="44" spans="1:24" ht="12.5" x14ac:dyDescent="0.25">
      <c r="A44" t="s">
        <v>23</v>
      </c>
    </row>
    <row r="46" spans="1:24" ht="12.5" x14ac:dyDescent="0.25">
      <c r="A46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796875" defaultRowHeight="15" customHeight="1" x14ac:dyDescent="0.25"/>
  <sheetData>
    <row r="1" spans="1:5" ht="15" customHeight="1" x14ac:dyDescent="0.25">
      <c r="A1" t="s">
        <v>27</v>
      </c>
    </row>
    <row r="3" spans="1:5" ht="15" customHeight="1" x14ac:dyDescent="0.25">
      <c r="B3" t="s">
        <v>28</v>
      </c>
      <c r="E3" t="s">
        <v>29</v>
      </c>
    </row>
    <row r="4" spans="1:5" ht="15" customHeight="1" x14ac:dyDescent="0.25">
      <c r="B4" t="s">
        <v>30</v>
      </c>
      <c r="E4" t="s">
        <v>31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7"/>
  <sheetViews>
    <sheetView workbookViewId="0"/>
  </sheetViews>
  <sheetFormatPr defaultColWidth="9.1796875" defaultRowHeight="15" customHeight="1" x14ac:dyDescent="0.25"/>
  <cols>
    <col min="1" max="1" width="18.7265625" customWidth="1"/>
    <col min="2" max="2" width="14.453125" customWidth="1"/>
    <col min="4" max="4" width="2" customWidth="1"/>
    <col min="5" max="5" width="52.1796875" customWidth="1"/>
  </cols>
  <sheetData>
    <row r="1" spans="1:5" ht="15" customHeight="1" x14ac:dyDescent="0.25">
      <c r="A1" t="s">
        <v>32</v>
      </c>
    </row>
    <row r="3" spans="1:5" ht="15" customHeight="1" x14ac:dyDescent="0.25">
      <c r="B3" t="s">
        <v>33</v>
      </c>
      <c r="E3" t="s">
        <v>1</v>
      </c>
    </row>
    <row r="4" spans="1:5" ht="15" customHeight="1" x14ac:dyDescent="0.25">
      <c r="B4" t="s">
        <v>34</v>
      </c>
    </row>
    <row r="5" spans="1:5" ht="15" customHeight="1" x14ac:dyDescent="0.25">
      <c r="B5" t="s">
        <v>35</v>
      </c>
      <c r="E5" t="s">
        <v>36</v>
      </c>
    </row>
    <row r="6" spans="1:5" ht="15" customHeight="1" x14ac:dyDescent="0.25">
      <c r="B6" t="s">
        <v>37</v>
      </c>
      <c r="E6" t="s">
        <v>2</v>
      </c>
    </row>
    <row r="7" spans="1:5" ht="15" customHeight="1" x14ac:dyDescent="0.25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19"/>
  <sheetViews>
    <sheetView workbookViewId="0"/>
  </sheetViews>
  <sheetFormatPr defaultColWidth="9.1796875" defaultRowHeight="15" customHeight="1" x14ac:dyDescent="0.25"/>
  <cols>
    <col min="1" max="1" width="20.81640625" customWidth="1"/>
    <col min="2" max="2" width="28.7265625" customWidth="1"/>
    <col min="3" max="3" width="21.54296875" customWidth="1"/>
    <col min="4" max="4" width="2" customWidth="1"/>
    <col min="5" max="5" width="32.453125" customWidth="1"/>
  </cols>
  <sheetData>
    <row r="1" spans="1:5" ht="15" customHeight="1" x14ac:dyDescent="0.25">
      <c r="A1" t="s">
        <v>38</v>
      </c>
    </row>
    <row r="3" spans="1:5" ht="15" customHeight="1" x14ac:dyDescent="0.25">
      <c r="B3" t="s">
        <v>39</v>
      </c>
      <c r="E3" t="s">
        <v>40</v>
      </c>
    </row>
    <row r="4" spans="1:5" ht="15" customHeight="1" x14ac:dyDescent="0.25">
      <c r="B4" t="s">
        <v>41</v>
      </c>
      <c r="E4" t="s">
        <v>42</v>
      </c>
    </row>
    <row r="5" spans="1:5" ht="15" customHeight="1" x14ac:dyDescent="0.25">
      <c r="B5" t="s">
        <v>43</v>
      </c>
      <c r="E5" t="s">
        <v>44</v>
      </c>
    </row>
    <row r="6" spans="1:5" ht="15" customHeight="1" x14ac:dyDescent="0.25">
      <c r="B6" t="s">
        <v>45</v>
      </c>
      <c r="E6" t="s">
        <v>46</v>
      </c>
    </row>
    <row r="8" spans="1:5" ht="15" customHeight="1" x14ac:dyDescent="0.25">
      <c r="B8" t="s">
        <v>47</v>
      </c>
    </row>
    <row r="10" spans="1:5" ht="15" customHeight="1" x14ac:dyDescent="0.25">
      <c r="C10" t="s">
        <v>48</v>
      </c>
      <c r="E10" t="s">
        <v>49</v>
      </c>
    </row>
    <row r="11" spans="1:5" ht="15" customHeight="1" x14ac:dyDescent="0.25">
      <c r="C11" t="s">
        <v>50</v>
      </c>
      <c r="E11" t="s">
        <v>51</v>
      </c>
    </row>
    <row r="12" spans="1:5" ht="15" customHeight="1" x14ac:dyDescent="0.25">
      <c r="C12" t="s">
        <v>52</v>
      </c>
      <c r="E12" t="s">
        <v>53</v>
      </c>
    </row>
    <row r="13" spans="1:5" ht="15" customHeight="1" x14ac:dyDescent="0.25">
      <c r="C13" t="s">
        <v>54</v>
      </c>
      <c r="E13" t="s">
        <v>55</v>
      </c>
    </row>
    <row r="15" spans="1:5" ht="15" customHeight="1" x14ac:dyDescent="0.25">
      <c r="C15" t="s">
        <v>56</v>
      </c>
      <c r="E15" t="s">
        <v>44</v>
      </c>
    </row>
    <row r="16" spans="1:5" ht="15" customHeight="1" x14ac:dyDescent="0.25">
      <c r="C16" t="s">
        <v>57</v>
      </c>
      <c r="E16" t="s">
        <v>58</v>
      </c>
    </row>
    <row r="17" spans="3:5" ht="15" customHeight="1" x14ac:dyDescent="0.25">
      <c r="C17" t="s">
        <v>59</v>
      </c>
      <c r="E17" t="s">
        <v>44</v>
      </c>
    </row>
    <row r="18" spans="3:5" ht="15" customHeight="1" x14ac:dyDescent="0.25">
      <c r="C18" t="s">
        <v>60</v>
      </c>
      <c r="E18" t="s">
        <v>44</v>
      </c>
    </row>
    <row r="19" spans="3:5" ht="15" customHeight="1" x14ac:dyDescent="0.25">
      <c r="C19" t="s">
        <v>61</v>
      </c>
      <c r="E19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3"/>
  <sheetViews>
    <sheetView workbookViewId="0"/>
  </sheetViews>
  <sheetFormatPr defaultColWidth="9.1796875" defaultRowHeight="15" customHeight="1" x14ac:dyDescent="0.25"/>
  <cols>
    <col min="1" max="1" width="19.1796875" customWidth="1"/>
    <col min="2" max="2" width="28.26953125" customWidth="1"/>
    <col min="4" max="4" width="2" customWidth="1"/>
    <col min="5" max="5" width="10.453125" customWidth="1"/>
  </cols>
  <sheetData>
    <row r="1" spans="1:5" ht="15" customHeight="1" x14ac:dyDescent="0.25">
      <c r="A1" t="s">
        <v>62</v>
      </c>
    </row>
    <row r="3" spans="1:5" ht="15" customHeight="1" x14ac:dyDescent="0.25">
      <c r="B3" t="s">
        <v>63</v>
      </c>
      <c r="E3" t="s">
        <v>64</v>
      </c>
    </row>
    <row r="4" spans="1:5" ht="15" customHeight="1" x14ac:dyDescent="0.25">
      <c r="B4" t="s">
        <v>65</v>
      </c>
      <c r="E4" t="s">
        <v>44</v>
      </c>
    </row>
    <row r="5" spans="1:5" ht="15" customHeight="1" x14ac:dyDescent="0.25">
      <c r="B5" t="s">
        <v>66</v>
      </c>
      <c r="E5" t="s">
        <v>58</v>
      </c>
    </row>
    <row r="6" spans="1:5" ht="15" customHeight="1" x14ac:dyDescent="0.25">
      <c r="B6" t="s">
        <v>67</v>
      </c>
      <c r="E6" t="s">
        <v>58</v>
      </c>
    </row>
    <row r="8" spans="1:5" ht="15" customHeight="1" x14ac:dyDescent="0.25">
      <c r="A8" t="s">
        <v>4</v>
      </c>
    </row>
    <row r="10" spans="1:5" ht="15" customHeight="1" x14ac:dyDescent="0.25">
      <c r="B10" t="s">
        <v>68</v>
      </c>
      <c r="E10" t="s">
        <v>69</v>
      </c>
    </row>
    <row r="11" spans="1:5" ht="15" customHeight="1" x14ac:dyDescent="0.25">
      <c r="B11" t="s">
        <v>70</v>
      </c>
      <c r="E11" t="s">
        <v>58</v>
      </c>
    </row>
    <row r="12" spans="1:5" ht="15" customHeight="1" x14ac:dyDescent="0.25">
      <c r="B12" t="s">
        <v>71</v>
      </c>
      <c r="E12" t="s">
        <v>72</v>
      </c>
    </row>
    <row r="13" spans="1:5" ht="15" customHeight="1" x14ac:dyDescent="0.25">
      <c r="B13" t="s">
        <v>73</v>
      </c>
      <c r="E13" t="s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7"/>
  <sheetViews>
    <sheetView workbookViewId="0"/>
  </sheetViews>
  <sheetFormatPr defaultColWidth="9.1796875" defaultRowHeight="15" customHeight="1" x14ac:dyDescent="0.25"/>
  <cols>
    <col min="1" max="1" width="8.54296875" customWidth="1"/>
    <col min="2" max="2" width="25.7265625" customWidth="1"/>
    <col min="3" max="3" width="65.7265625" customWidth="1"/>
    <col min="4" max="4" width="32" customWidth="1"/>
  </cols>
  <sheetData>
    <row r="1" spans="1:5" ht="15" customHeight="1" x14ac:dyDescent="0.25">
      <c r="A1" t="s">
        <v>75</v>
      </c>
    </row>
    <row r="3" spans="1:5" ht="15" customHeight="1" x14ac:dyDescent="0.25">
      <c r="B3" s="2" t="s">
        <v>76</v>
      </c>
      <c r="C3" s="2" t="s">
        <v>77</v>
      </c>
      <c r="D3" s="2" t="s">
        <v>78</v>
      </c>
      <c r="E3" s="2"/>
    </row>
    <row r="4" spans="1:5" ht="15" customHeight="1" x14ac:dyDescent="0.25">
      <c r="B4" t="s">
        <v>2</v>
      </c>
      <c r="C4" t="s">
        <v>79</v>
      </c>
    </row>
    <row r="5" spans="1:5" ht="15" customHeight="1" x14ac:dyDescent="0.25">
      <c r="B5" t="s">
        <v>80</v>
      </c>
      <c r="C5" t="s">
        <v>81</v>
      </c>
      <c r="D5" t="s">
        <v>82</v>
      </c>
    </row>
    <row r="6" spans="1:5" ht="15" customHeight="1" x14ac:dyDescent="0.25">
      <c r="B6" t="s">
        <v>80</v>
      </c>
      <c r="C6" t="s">
        <v>83</v>
      </c>
    </row>
    <row r="7" spans="1:5" ht="15" customHeight="1" x14ac:dyDescent="0.25">
      <c r="B7" t="s">
        <v>84</v>
      </c>
      <c r="C7" t="s">
        <v>85</v>
      </c>
      <c r="D7" t="s">
        <v>86</v>
      </c>
    </row>
    <row r="8" spans="1:5" ht="15" customHeight="1" x14ac:dyDescent="0.25">
      <c r="B8" t="s">
        <v>87</v>
      </c>
      <c r="C8" t="s">
        <v>81</v>
      </c>
      <c r="D8" t="s">
        <v>82</v>
      </c>
    </row>
    <row r="9" spans="1:5" ht="15" customHeight="1" x14ac:dyDescent="0.25">
      <c r="B9" t="s">
        <v>88</v>
      </c>
      <c r="C9" t="s">
        <v>81</v>
      </c>
      <c r="D9" t="s">
        <v>82</v>
      </c>
    </row>
    <row r="10" spans="1:5" ht="15" customHeight="1" x14ac:dyDescent="0.25">
      <c r="B10" t="s">
        <v>89</v>
      </c>
      <c r="C10" t="s">
        <v>81</v>
      </c>
      <c r="D10" t="s">
        <v>82</v>
      </c>
    </row>
    <row r="11" spans="1:5" ht="15" customHeight="1" x14ac:dyDescent="0.25">
      <c r="B11" t="s">
        <v>90</v>
      </c>
      <c r="C11" t="s">
        <v>81</v>
      </c>
      <c r="D11" t="s">
        <v>82</v>
      </c>
    </row>
    <row r="12" spans="1:5" ht="15" customHeight="1" x14ac:dyDescent="0.25">
      <c r="B12" t="s">
        <v>91</v>
      </c>
      <c r="C12" t="s">
        <v>81</v>
      </c>
      <c r="D12" t="s">
        <v>82</v>
      </c>
    </row>
    <row r="13" spans="1:5" ht="15" customHeight="1" x14ac:dyDescent="0.25">
      <c r="B13" t="s">
        <v>92</v>
      </c>
      <c r="C13" t="s">
        <v>81</v>
      </c>
      <c r="D13" t="s">
        <v>82</v>
      </c>
    </row>
    <row r="14" spans="1:5" ht="15" customHeight="1" x14ac:dyDescent="0.25">
      <c r="B14" t="s">
        <v>93</v>
      </c>
      <c r="C14" t="s">
        <v>94</v>
      </c>
    </row>
    <row r="15" spans="1:5" ht="15" customHeight="1" x14ac:dyDescent="0.25">
      <c r="B15" t="s">
        <v>93</v>
      </c>
      <c r="C15" t="s">
        <v>81</v>
      </c>
      <c r="D15" t="s">
        <v>82</v>
      </c>
    </row>
    <row r="16" spans="1:5" ht="15" customHeight="1" x14ac:dyDescent="0.25">
      <c r="B16" t="s">
        <v>95</v>
      </c>
      <c r="C16" t="s">
        <v>96</v>
      </c>
    </row>
    <row r="17" spans="1:1" ht="15" customHeight="1" x14ac:dyDescent="0.25">
      <c r="A17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Y57"/>
  <sheetViews>
    <sheetView workbookViewId="0"/>
  </sheetViews>
  <sheetFormatPr defaultColWidth="9.1796875" defaultRowHeight="15" customHeight="1" x14ac:dyDescent="0.25"/>
  <sheetData>
    <row r="1" spans="1:25" ht="15" customHeight="1" x14ac:dyDescent="0.25">
      <c r="A1" t="s">
        <v>39</v>
      </c>
      <c r="B1" t="s">
        <v>6</v>
      </c>
    </row>
    <row r="2" spans="1:25" ht="15" customHeight="1" x14ac:dyDescent="0.25">
      <c r="A2" t="s">
        <v>97</v>
      </c>
      <c r="B2" t="s">
        <v>98</v>
      </c>
    </row>
    <row r="4" spans="1:25" ht="15" customHeight="1" x14ac:dyDescent="0.25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</row>
    <row r="5" spans="1:25" ht="15" customHeight="1" x14ac:dyDescent="0.25">
      <c r="A5" s="32" t="s">
        <v>8</v>
      </c>
      <c r="B5" s="4" t="s">
        <v>25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  <c r="W5" s="4" t="s">
        <v>25</v>
      </c>
      <c r="X5" s="4" t="s">
        <v>25</v>
      </c>
      <c r="Y5" s="31"/>
    </row>
    <row r="6" spans="1:25" ht="15" customHeight="1" x14ac:dyDescent="0.25">
      <c r="A6" s="31"/>
      <c r="B6" s="5" t="s">
        <v>99</v>
      </c>
      <c r="C6" s="5" t="s">
        <v>99</v>
      </c>
      <c r="D6" s="5" t="s">
        <v>99</v>
      </c>
      <c r="E6" s="5" t="s">
        <v>99</v>
      </c>
      <c r="F6" s="5" t="s">
        <v>99</v>
      </c>
      <c r="G6" s="5" t="s">
        <v>99</v>
      </c>
      <c r="H6" s="5" t="s">
        <v>99</v>
      </c>
      <c r="I6" s="5" t="s">
        <v>99</v>
      </c>
      <c r="J6" s="5" t="s">
        <v>99</v>
      </c>
      <c r="K6" s="5" t="s">
        <v>99</v>
      </c>
      <c r="L6" s="5" t="s">
        <v>99</v>
      </c>
      <c r="M6" s="5" t="s">
        <v>99</v>
      </c>
      <c r="N6" s="5" t="s">
        <v>99</v>
      </c>
      <c r="O6" s="5" t="s">
        <v>99</v>
      </c>
      <c r="P6" s="5" t="s">
        <v>99</v>
      </c>
      <c r="Q6" s="5" t="s">
        <v>99</v>
      </c>
      <c r="R6" s="5" t="s">
        <v>99</v>
      </c>
      <c r="S6" s="5" t="s">
        <v>99</v>
      </c>
      <c r="T6" s="5" t="s">
        <v>99</v>
      </c>
      <c r="U6" s="5" t="s">
        <v>99</v>
      </c>
      <c r="V6" s="5" t="s">
        <v>99</v>
      </c>
      <c r="W6" s="5" t="s">
        <v>99</v>
      </c>
      <c r="X6" s="5" t="s">
        <v>99</v>
      </c>
      <c r="Y6" s="31"/>
    </row>
    <row r="7" spans="1:25" ht="15" customHeight="1" x14ac:dyDescent="0.25">
      <c r="A7" s="31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31"/>
    </row>
    <row r="8" spans="1:25" ht="15" customHeight="1" x14ac:dyDescent="0.25">
      <c r="A8" s="32" t="s">
        <v>9</v>
      </c>
      <c r="B8" s="4" t="s">
        <v>25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4" t="s">
        <v>25</v>
      </c>
      <c r="Y8" s="31"/>
    </row>
    <row r="9" spans="1:25" ht="15" customHeight="1" x14ac:dyDescent="0.25">
      <c r="A9" s="31"/>
      <c r="B9" s="5" t="s">
        <v>99</v>
      </c>
      <c r="C9" s="5" t="s">
        <v>99</v>
      </c>
      <c r="D9" s="5" t="s">
        <v>99</v>
      </c>
      <c r="E9" s="5" t="s">
        <v>99</v>
      </c>
      <c r="F9" s="5" t="s">
        <v>99</v>
      </c>
      <c r="G9" s="5" t="s">
        <v>99</v>
      </c>
      <c r="H9" s="5" t="s">
        <v>99</v>
      </c>
      <c r="I9" s="5" t="s">
        <v>99</v>
      </c>
      <c r="J9" s="5" t="s">
        <v>99</v>
      </c>
      <c r="K9" s="5" t="s">
        <v>99</v>
      </c>
      <c r="L9" s="5" t="s">
        <v>99</v>
      </c>
      <c r="M9" s="5" t="s">
        <v>99</v>
      </c>
      <c r="N9" s="5" t="s">
        <v>99</v>
      </c>
      <c r="O9" s="5" t="s">
        <v>99</v>
      </c>
      <c r="P9" s="5" t="s">
        <v>99</v>
      </c>
      <c r="Q9" s="5" t="s">
        <v>99</v>
      </c>
      <c r="R9" s="5" t="s">
        <v>99</v>
      </c>
      <c r="S9" s="5" t="s">
        <v>99</v>
      </c>
      <c r="T9" s="5" t="s">
        <v>99</v>
      </c>
      <c r="U9" s="5" t="s">
        <v>99</v>
      </c>
      <c r="V9" s="5" t="s">
        <v>99</v>
      </c>
      <c r="W9" s="5" t="s">
        <v>99</v>
      </c>
      <c r="X9" s="5" t="s">
        <v>99</v>
      </c>
      <c r="Y9" s="31"/>
    </row>
    <row r="10" spans="1:25" ht="15" customHeight="1" x14ac:dyDescent="0.25">
      <c r="A10" s="31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31"/>
    </row>
    <row r="11" spans="1:25" ht="15" customHeight="1" x14ac:dyDescent="0.25">
      <c r="A11" s="32" t="s">
        <v>10</v>
      </c>
      <c r="B11" s="4" t="s">
        <v>25</v>
      </c>
      <c r="C11" s="4" t="s">
        <v>25</v>
      </c>
      <c r="D11" s="4" t="s">
        <v>25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4" t="s">
        <v>25</v>
      </c>
      <c r="Y11" s="31"/>
    </row>
    <row r="12" spans="1:25" ht="15" customHeight="1" x14ac:dyDescent="0.25">
      <c r="A12" s="31"/>
      <c r="B12" s="5" t="s">
        <v>99</v>
      </c>
      <c r="C12" s="5" t="s">
        <v>99</v>
      </c>
      <c r="D12" s="5" t="s">
        <v>99</v>
      </c>
      <c r="E12" s="5" t="s">
        <v>99</v>
      </c>
      <c r="F12" s="5" t="s">
        <v>99</v>
      </c>
      <c r="G12" s="5" t="s">
        <v>99</v>
      </c>
      <c r="H12" s="5" t="s">
        <v>99</v>
      </c>
      <c r="I12" s="5" t="s">
        <v>99</v>
      </c>
      <c r="J12" s="5" t="s">
        <v>99</v>
      </c>
      <c r="K12" s="5" t="s">
        <v>99</v>
      </c>
      <c r="L12" s="5" t="s">
        <v>99</v>
      </c>
      <c r="M12" s="5" t="s">
        <v>99</v>
      </c>
      <c r="N12" s="5" t="s">
        <v>99</v>
      </c>
      <c r="O12" s="5" t="s">
        <v>99</v>
      </c>
      <c r="P12" s="5" t="s">
        <v>99</v>
      </c>
      <c r="Q12" s="5" t="s">
        <v>99</v>
      </c>
      <c r="R12" s="5" t="s">
        <v>99</v>
      </c>
      <c r="S12" s="5" t="s">
        <v>99</v>
      </c>
      <c r="T12" s="5" t="s">
        <v>99</v>
      </c>
      <c r="U12" s="5" t="s">
        <v>99</v>
      </c>
      <c r="V12" s="5" t="s">
        <v>99</v>
      </c>
      <c r="W12" s="5" t="s">
        <v>99</v>
      </c>
      <c r="X12" s="5" t="s">
        <v>99</v>
      </c>
      <c r="Y12" s="31"/>
    </row>
    <row r="13" spans="1:25" ht="15" customHeight="1" x14ac:dyDescent="0.25">
      <c r="A13" s="31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31"/>
    </row>
    <row r="14" spans="1:25" ht="15" customHeight="1" x14ac:dyDescent="0.25">
      <c r="A14" s="32" t="s">
        <v>11</v>
      </c>
      <c r="B14" s="4" t="s">
        <v>25</v>
      </c>
      <c r="C14" s="4" t="s">
        <v>25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4" t="s">
        <v>25</v>
      </c>
      <c r="Y14" s="31"/>
    </row>
    <row r="15" spans="1:25" ht="15" customHeight="1" x14ac:dyDescent="0.25">
      <c r="A15" s="31"/>
      <c r="B15" s="5" t="s">
        <v>99</v>
      </c>
      <c r="C15" s="5" t="s">
        <v>99</v>
      </c>
      <c r="D15" s="5" t="s">
        <v>99</v>
      </c>
      <c r="E15" s="5" t="s">
        <v>99</v>
      </c>
      <c r="F15" s="5" t="s">
        <v>99</v>
      </c>
      <c r="G15" s="5" t="s">
        <v>99</v>
      </c>
      <c r="H15" s="5" t="s">
        <v>99</v>
      </c>
      <c r="I15" s="5" t="s">
        <v>99</v>
      </c>
      <c r="J15" s="5" t="s">
        <v>99</v>
      </c>
      <c r="K15" s="5" t="s">
        <v>99</v>
      </c>
      <c r="L15" s="5" t="s">
        <v>99</v>
      </c>
      <c r="M15" s="5" t="s">
        <v>99</v>
      </c>
      <c r="N15" s="5" t="s">
        <v>99</v>
      </c>
      <c r="O15" s="5" t="s">
        <v>99</v>
      </c>
      <c r="P15" s="5" t="s">
        <v>99</v>
      </c>
      <c r="Q15" s="5" t="s">
        <v>99</v>
      </c>
      <c r="R15" s="5" t="s">
        <v>99</v>
      </c>
      <c r="S15" s="5" t="s">
        <v>99</v>
      </c>
      <c r="T15" s="5" t="s">
        <v>99</v>
      </c>
      <c r="U15" s="5" t="s">
        <v>99</v>
      </c>
      <c r="V15" s="5" t="s">
        <v>99</v>
      </c>
      <c r="W15" s="5" t="s">
        <v>99</v>
      </c>
      <c r="X15" s="5" t="s">
        <v>99</v>
      </c>
      <c r="Y15" s="31"/>
    </row>
    <row r="16" spans="1:25" ht="15" customHeight="1" x14ac:dyDescent="0.25">
      <c r="A16" s="3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31"/>
    </row>
    <row r="17" spans="1:25" ht="15" customHeight="1" x14ac:dyDescent="0.25">
      <c r="A17" s="32" t="s">
        <v>12</v>
      </c>
      <c r="B17" s="4" t="s">
        <v>25</v>
      </c>
      <c r="C17" s="4" t="s">
        <v>25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  <c r="W17" s="4" t="s">
        <v>25</v>
      </c>
      <c r="X17" s="4" t="s">
        <v>25</v>
      </c>
      <c r="Y17" s="31"/>
    </row>
    <row r="18" spans="1:25" ht="15" customHeight="1" x14ac:dyDescent="0.25">
      <c r="A18" s="31"/>
      <c r="B18" s="5" t="s">
        <v>99</v>
      </c>
      <c r="C18" s="5" t="s">
        <v>99</v>
      </c>
      <c r="D18" s="5" t="s">
        <v>99</v>
      </c>
      <c r="E18" s="5" t="s">
        <v>99</v>
      </c>
      <c r="F18" s="5" t="s">
        <v>99</v>
      </c>
      <c r="G18" s="5" t="s">
        <v>99</v>
      </c>
      <c r="H18" s="5" t="s">
        <v>99</v>
      </c>
      <c r="I18" s="5" t="s">
        <v>99</v>
      </c>
      <c r="J18" s="5" t="s">
        <v>99</v>
      </c>
      <c r="K18" s="5" t="s">
        <v>99</v>
      </c>
      <c r="L18" s="5" t="s">
        <v>99</v>
      </c>
      <c r="M18" s="5" t="s">
        <v>99</v>
      </c>
      <c r="N18" s="5" t="s">
        <v>99</v>
      </c>
      <c r="O18" s="5" t="s">
        <v>99</v>
      </c>
      <c r="P18" s="5" t="s">
        <v>99</v>
      </c>
      <c r="Q18" s="5" t="s">
        <v>99</v>
      </c>
      <c r="R18" s="5" t="s">
        <v>99</v>
      </c>
      <c r="S18" s="5" t="s">
        <v>99</v>
      </c>
      <c r="T18" s="5" t="s">
        <v>99</v>
      </c>
      <c r="U18" s="5" t="s">
        <v>99</v>
      </c>
      <c r="V18" s="5" t="s">
        <v>99</v>
      </c>
      <c r="W18" s="5" t="s">
        <v>99</v>
      </c>
      <c r="X18" s="5" t="s">
        <v>99</v>
      </c>
      <c r="Y18" s="31"/>
    </row>
    <row r="19" spans="1:25" ht="15" customHeight="1" x14ac:dyDescent="0.25">
      <c r="A19" s="3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31"/>
    </row>
    <row r="20" spans="1:25" ht="15" customHeight="1" x14ac:dyDescent="0.25">
      <c r="A20" s="32" t="s">
        <v>13</v>
      </c>
      <c r="B20" s="4" t="s">
        <v>25</v>
      </c>
      <c r="C20" s="4" t="s">
        <v>25</v>
      </c>
      <c r="D20" s="4" t="s">
        <v>25</v>
      </c>
      <c r="E20" s="4" t="s">
        <v>25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  <c r="W20" s="4" t="s">
        <v>25</v>
      </c>
      <c r="X20" s="4" t="s">
        <v>25</v>
      </c>
      <c r="Y20" s="31"/>
    </row>
    <row r="21" spans="1:25" ht="12.5" x14ac:dyDescent="0.25">
      <c r="A21" s="31"/>
      <c r="B21" s="5" t="s">
        <v>99</v>
      </c>
      <c r="C21" s="5" t="s">
        <v>99</v>
      </c>
      <c r="D21" s="5" t="s">
        <v>99</v>
      </c>
      <c r="E21" s="5" t="s">
        <v>99</v>
      </c>
      <c r="F21" s="5" t="s">
        <v>99</v>
      </c>
      <c r="G21" s="5" t="s">
        <v>99</v>
      </c>
      <c r="H21" s="5" t="s">
        <v>99</v>
      </c>
      <c r="I21" s="5" t="s">
        <v>99</v>
      </c>
      <c r="J21" s="5" t="s">
        <v>99</v>
      </c>
      <c r="K21" s="5" t="s">
        <v>99</v>
      </c>
      <c r="L21" s="5" t="s">
        <v>99</v>
      </c>
      <c r="M21" s="5" t="s">
        <v>99</v>
      </c>
      <c r="N21" s="5" t="s">
        <v>99</v>
      </c>
      <c r="O21" s="5" t="s">
        <v>99</v>
      </c>
      <c r="P21" s="5" t="s">
        <v>99</v>
      </c>
      <c r="Q21" s="5" t="s">
        <v>99</v>
      </c>
      <c r="R21" s="5" t="s">
        <v>99</v>
      </c>
      <c r="S21" s="5" t="s">
        <v>99</v>
      </c>
      <c r="T21" s="5" t="s">
        <v>99</v>
      </c>
      <c r="U21" s="5" t="s">
        <v>99</v>
      </c>
      <c r="V21" s="5" t="s">
        <v>99</v>
      </c>
      <c r="W21" s="5" t="s">
        <v>99</v>
      </c>
      <c r="X21" s="5" t="s">
        <v>99</v>
      </c>
      <c r="Y21" s="31"/>
    </row>
    <row r="22" spans="1:25" ht="12.5" x14ac:dyDescent="0.25">
      <c r="A22" s="3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31"/>
    </row>
    <row r="23" spans="1:25" ht="12.5" x14ac:dyDescent="0.25">
      <c r="A23" s="32" t="s">
        <v>14</v>
      </c>
      <c r="B23" s="4" t="s">
        <v>25</v>
      </c>
      <c r="C23" s="4" t="s">
        <v>25</v>
      </c>
      <c r="D23" s="4" t="s">
        <v>25</v>
      </c>
      <c r="E23" s="4" t="s">
        <v>25</v>
      </c>
      <c r="F23" s="4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4" t="s">
        <v>25</v>
      </c>
      <c r="W23" s="4" t="s">
        <v>25</v>
      </c>
      <c r="X23" s="4" t="s">
        <v>25</v>
      </c>
      <c r="Y23" s="31"/>
    </row>
    <row r="24" spans="1:25" ht="12.5" x14ac:dyDescent="0.25">
      <c r="A24" s="31"/>
      <c r="B24" s="5" t="s">
        <v>99</v>
      </c>
      <c r="C24" s="5" t="s">
        <v>99</v>
      </c>
      <c r="D24" s="5" t="s">
        <v>99</v>
      </c>
      <c r="E24" s="5" t="s">
        <v>99</v>
      </c>
      <c r="F24" s="5" t="s">
        <v>99</v>
      </c>
      <c r="G24" s="5" t="s">
        <v>99</v>
      </c>
      <c r="H24" s="5" t="s">
        <v>99</v>
      </c>
      <c r="I24" s="5" t="s">
        <v>99</v>
      </c>
      <c r="J24" s="5" t="s">
        <v>99</v>
      </c>
      <c r="K24" s="5" t="s">
        <v>99</v>
      </c>
      <c r="L24" s="5" t="s">
        <v>99</v>
      </c>
      <c r="M24" s="5" t="s">
        <v>99</v>
      </c>
      <c r="N24" s="5" t="s">
        <v>99</v>
      </c>
      <c r="O24" s="5" t="s">
        <v>99</v>
      </c>
      <c r="P24" s="5" t="s">
        <v>99</v>
      </c>
      <c r="Q24" s="5" t="s">
        <v>99</v>
      </c>
      <c r="R24" s="5" t="s">
        <v>99</v>
      </c>
      <c r="S24" s="5" t="s">
        <v>99</v>
      </c>
      <c r="T24" s="5" t="s">
        <v>99</v>
      </c>
      <c r="U24" s="5" t="s">
        <v>99</v>
      </c>
      <c r="V24" s="5" t="s">
        <v>99</v>
      </c>
      <c r="W24" s="5" t="s">
        <v>99</v>
      </c>
      <c r="X24" s="5" t="s">
        <v>99</v>
      </c>
      <c r="Y24" s="31"/>
    </row>
    <row r="25" spans="1:25" ht="12.5" x14ac:dyDescent="0.25">
      <c r="A25" s="3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31"/>
    </row>
    <row r="26" spans="1:25" ht="12.5" x14ac:dyDescent="0.25">
      <c r="A26" s="32" t="s">
        <v>15</v>
      </c>
      <c r="B26" s="4" t="s">
        <v>25</v>
      </c>
      <c r="C26" s="4" t="s">
        <v>25</v>
      </c>
      <c r="D26" s="4" t="s">
        <v>25</v>
      </c>
      <c r="E26" s="4" t="s">
        <v>25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4" t="s">
        <v>25</v>
      </c>
      <c r="W26" s="4" t="s">
        <v>25</v>
      </c>
      <c r="X26" s="4" t="s">
        <v>25</v>
      </c>
      <c r="Y26" s="31"/>
    </row>
    <row r="27" spans="1:25" ht="12.5" x14ac:dyDescent="0.25">
      <c r="A27" s="31"/>
      <c r="B27" s="5" t="s">
        <v>99</v>
      </c>
      <c r="C27" s="5" t="s">
        <v>99</v>
      </c>
      <c r="D27" s="5" t="s">
        <v>99</v>
      </c>
      <c r="E27" s="5" t="s">
        <v>99</v>
      </c>
      <c r="F27" s="5" t="s">
        <v>99</v>
      </c>
      <c r="G27" s="5" t="s">
        <v>99</v>
      </c>
      <c r="H27" s="5" t="s">
        <v>99</v>
      </c>
      <c r="I27" s="5" t="s">
        <v>99</v>
      </c>
      <c r="J27" s="5" t="s">
        <v>99</v>
      </c>
      <c r="K27" s="5" t="s">
        <v>99</v>
      </c>
      <c r="L27" s="5" t="s">
        <v>99</v>
      </c>
      <c r="M27" s="5" t="s">
        <v>99</v>
      </c>
      <c r="N27" s="5" t="s">
        <v>99</v>
      </c>
      <c r="O27" s="5" t="s">
        <v>99</v>
      </c>
      <c r="P27" s="5" t="s">
        <v>99</v>
      </c>
      <c r="Q27" s="5" t="s">
        <v>99</v>
      </c>
      <c r="R27" s="5" t="s">
        <v>99</v>
      </c>
      <c r="S27" s="5" t="s">
        <v>99</v>
      </c>
      <c r="T27" s="5" t="s">
        <v>99</v>
      </c>
      <c r="U27" s="5" t="s">
        <v>99</v>
      </c>
      <c r="V27" s="5" t="s">
        <v>99</v>
      </c>
      <c r="W27" s="5" t="s">
        <v>99</v>
      </c>
      <c r="X27" s="5" t="s">
        <v>99</v>
      </c>
      <c r="Y27" s="31"/>
    </row>
    <row r="28" spans="1:25" ht="12.5" x14ac:dyDescent="0.25">
      <c r="A28" s="3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31"/>
    </row>
    <row r="29" spans="1:25" ht="12.5" x14ac:dyDescent="0.25">
      <c r="A29" s="32" t="s">
        <v>16</v>
      </c>
      <c r="B29" s="4" t="s">
        <v>25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4" t="s">
        <v>25</v>
      </c>
      <c r="W29" s="4" t="s">
        <v>25</v>
      </c>
      <c r="X29" s="4" t="s">
        <v>25</v>
      </c>
      <c r="Y29" s="31"/>
    </row>
    <row r="30" spans="1:25" ht="12.5" x14ac:dyDescent="0.25">
      <c r="A30" s="31"/>
      <c r="B30" s="5" t="s">
        <v>99</v>
      </c>
      <c r="C30" s="5" t="s">
        <v>99</v>
      </c>
      <c r="D30" s="5" t="s">
        <v>99</v>
      </c>
      <c r="E30" s="5" t="s">
        <v>99</v>
      </c>
      <c r="F30" s="5" t="s">
        <v>99</v>
      </c>
      <c r="G30" s="5" t="s">
        <v>99</v>
      </c>
      <c r="H30" s="5" t="s">
        <v>99</v>
      </c>
      <c r="I30" s="5" t="s">
        <v>99</v>
      </c>
      <c r="J30" s="5" t="s">
        <v>99</v>
      </c>
      <c r="K30" s="5" t="s">
        <v>99</v>
      </c>
      <c r="L30" s="5" t="s">
        <v>99</v>
      </c>
      <c r="M30" s="5" t="s">
        <v>99</v>
      </c>
      <c r="N30" s="5" t="s">
        <v>99</v>
      </c>
      <c r="O30" s="5" t="s">
        <v>99</v>
      </c>
      <c r="P30" s="5" t="s">
        <v>99</v>
      </c>
      <c r="Q30" s="5" t="s">
        <v>99</v>
      </c>
      <c r="R30" s="5" t="s">
        <v>99</v>
      </c>
      <c r="S30" s="5" t="s">
        <v>99</v>
      </c>
      <c r="T30" s="5" t="s">
        <v>99</v>
      </c>
      <c r="U30" s="5" t="s">
        <v>99</v>
      </c>
      <c r="V30" s="5" t="s">
        <v>99</v>
      </c>
      <c r="W30" s="5" t="s">
        <v>99</v>
      </c>
      <c r="X30" s="5" t="s">
        <v>99</v>
      </c>
      <c r="Y30" s="31"/>
    </row>
    <row r="31" spans="1:25" ht="12.5" x14ac:dyDescent="0.25">
      <c r="A31" s="3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31"/>
    </row>
    <row r="32" spans="1:25" ht="12.5" x14ac:dyDescent="0.25">
      <c r="A32" s="32" t="s">
        <v>17</v>
      </c>
      <c r="B32" s="4" t="s">
        <v>25</v>
      </c>
      <c r="C32" s="4" t="s">
        <v>25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  <c r="W32" s="31"/>
      <c r="X32" s="31"/>
      <c r="Y32" s="31"/>
    </row>
    <row r="33" spans="1:25" ht="12.5" x14ac:dyDescent="0.25">
      <c r="A33" s="31"/>
      <c r="B33" s="5" t="s">
        <v>99</v>
      </c>
      <c r="C33" s="5" t="s">
        <v>99</v>
      </c>
      <c r="D33" s="5" t="s">
        <v>99</v>
      </c>
      <c r="E33" s="5" t="s">
        <v>99</v>
      </c>
      <c r="F33" s="5" t="s">
        <v>99</v>
      </c>
      <c r="G33" s="5" t="s">
        <v>99</v>
      </c>
      <c r="H33" s="5" t="s">
        <v>99</v>
      </c>
      <c r="I33" s="5" t="s">
        <v>99</v>
      </c>
      <c r="J33" s="5" t="s">
        <v>99</v>
      </c>
      <c r="K33" s="5" t="s">
        <v>99</v>
      </c>
      <c r="L33" s="5" t="s">
        <v>99</v>
      </c>
      <c r="M33" s="5" t="s">
        <v>99</v>
      </c>
      <c r="N33" s="5" t="s">
        <v>99</v>
      </c>
      <c r="O33" s="5" t="s">
        <v>99</v>
      </c>
      <c r="P33" s="5" t="s">
        <v>99</v>
      </c>
      <c r="Q33" s="5" t="s">
        <v>99</v>
      </c>
      <c r="R33" s="5" t="s">
        <v>99</v>
      </c>
      <c r="S33" s="5" t="s">
        <v>99</v>
      </c>
      <c r="T33" s="5" t="s">
        <v>99</v>
      </c>
      <c r="U33" s="5" t="s">
        <v>99</v>
      </c>
      <c r="V33" s="5" t="s">
        <v>99</v>
      </c>
      <c r="W33" s="31"/>
      <c r="X33" s="31"/>
      <c r="Y33" s="31"/>
    </row>
    <row r="34" spans="1:25" ht="12.5" x14ac:dyDescent="0.25">
      <c r="A34" s="3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31"/>
      <c r="X34" s="31"/>
      <c r="Y34" s="31"/>
    </row>
    <row r="35" spans="1:25" ht="12.5" x14ac:dyDescent="0.25">
      <c r="A35" s="32" t="s">
        <v>18</v>
      </c>
      <c r="B35" s="4" t="s">
        <v>25</v>
      </c>
      <c r="C35" s="4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4" t="s">
        <v>25</v>
      </c>
      <c r="W35" s="31"/>
      <c r="X35" s="31"/>
      <c r="Y35" s="31"/>
    </row>
    <row r="36" spans="1:25" ht="12.5" x14ac:dyDescent="0.25">
      <c r="A36" s="31"/>
      <c r="B36" s="5" t="s">
        <v>99</v>
      </c>
      <c r="C36" s="5" t="s">
        <v>99</v>
      </c>
      <c r="D36" s="5" t="s">
        <v>99</v>
      </c>
      <c r="E36" s="5" t="s">
        <v>99</v>
      </c>
      <c r="F36" s="5" t="s">
        <v>99</v>
      </c>
      <c r="G36" s="5" t="s">
        <v>99</v>
      </c>
      <c r="H36" s="5" t="s">
        <v>99</v>
      </c>
      <c r="I36" s="5" t="s">
        <v>99</v>
      </c>
      <c r="J36" s="5" t="s">
        <v>99</v>
      </c>
      <c r="K36" s="5" t="s">
        <v>99</v>
      </c>
      <c r="L36" s="5" t="s">
        <v>99</v>
      </c>
      <c r="M36" s="5" t="s">
        <v>99</v>
      </c>
      <c r="N36" s="5" t="s">
        <v>99</v>
      </c>
      <c r="O36" s="5" t="s">
        <v>99</v>
      </c>
      <c r="P36" s="5" t="s">
        <v>99</v>
      </c>
      <c r="Q36" s="5" t="s">
        <v>99</v>
      </c>
      <c r="R36" s="5" t="s">
        <v>99</v>
      </c>
      <c r="S36" s="5" t="s">
        <v>99</v>
      </c>
      <c r="T36" s="5" t="s">
        <v>99</v>
      </c>
      <c r="U36" s="5" t="s">
        <v>99</v>
      </c>
      <c r="V36" s="5" t="s">
        <v>99</v>
      </c>
      <c r="W36" s="31"/>
      <c r="X36" s="31"/>
      <c r="Y36" s="31"/>
    </row>
    <row r="37" spans="1:25" ht="12.5" x14ac:dyDescent="0.25">
      <c r="A37" s="31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31"/>
      <c r="X37" s="31"/>
      <c r="Y37" s="31"/>
    </row>
    <row r="38" spans="1:25" ht="12.5" x14ac:dyDescent="0.25">
      <c r="A38" s="32" t="s">
        <v>19</v>
      </c>
      <c r="B38" s="4" t="s">
        <v>25</v>
      </c>
      <c r="C38" s="4" t="s">
        <v>25</v>
      </c>
      <c r="D38" s="4" t="s">
        <v>25</v>
      </c>
      <c r="E38" s="4" t="s">
        <v>25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31"/>
      <c r="X38" s="31"/>
      <c r="Y38" s="31"/>
    </row>
    <row r="39" spans="1:25" ht="12.5" x14ac:dyDescent="0.25">
      <c r="A39" s="31"/>
      <c r="B39" s="5" t="s">
        <v>99</v>
      </c>
      <c r="C39" s="5" t="s">
        <v>99</v>
      </c>
      <c r="D39" s="5" t="s">
        <v>99</v>
      </c>
      <c r="E39" s="5" t="s">
        <v>99</v>
      </c>
      <c r="F39" s="5" t="s">
        <v>99</v>
      </c>
      <c r="G39" s="5" t="s">
        <v>99</v>
      </c>
      <c r="H39" s="5" t="s">
        <v>99</v>
      </c>
      <c r="I39" s="5" t="s">
        <v>99</v>
      </c>
      <c r="J39" s="5" t="s">
        <v>99</v>
      </c>
      <c r="K39" s="5" t="s">
        <v>99</v>
      </c>
      <c r="L39" s="5" t="s">
        <v>99</v>
      </c>
      <c r="M39" s="5" t="s">
        <v>99</v>
      </c>
      <c r="N39" s="5" t="s">
        <v>99</v>
      </c>
      <c r="O39" s="5" t="s">
        <v>99</v>
      </c>
      <c r="P39" s="5" t="s">
        <v>99</v>
      </c>
      <c r="Q39" s="5" t="s">
        <v>99</v>
      </c>
      <c r="R39" s="5" t="s">
        <v>99</v>
      </c>
      <c r="S39" s="5" t="s">
        <v>99</v>
      </c>
      <c r="T39" s="5" t="s">
        <v>99</v>
      </c>
      <c r="U39" s="5" t="s">
        <v>99</v>
      </c>
      <c r="V39" s="5" t="s">
        <v>99</v>
      </c>
      <c r="W39" s="31"/>
      <c r="X39" s="31"/>
      <c r="Y39" s="31"/>
    </row>
    <row r="40" spans="1:25" ht="12.5" x14ac:dyDescent="0.25">
      <c r="A40" s="3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31"/>
      <c r="X40" s="31"/>
      <c r="Y40" s="31"/>
    </row>
    <row r="41" spans="1:25" ht="12.5" x14ac:dyDescent="0.25">
      <c r="A41" s="32" t="s">
        <v>20</v>
      </c>
      <c r="B41" s="4" t="s">
        <v>25</v>
      </c>
      <c r="C41" s="4" t="s">
        <v>25</v>
      </c>
      <c r="D41" s="4" t="s">
        <v>25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  <c r="W41" s="31"/>
      <c r="X41" s="31"/>
      <c r="Y41" s="31"/>
    </row>
    <row r="42" spans="1:25" ht="12.5" x14ac:dyDescent="0.25">
      <c r="A42" s="31"/>
      <c r="B42" s="5" t="s">
        <v>99</v>
      </c>
      <c r="C42" s="5" t="s">
        <v>99</v>
      </c>
      <c r="D42" s="5" t="s">
        <v>99</v>
      </c>
      <c r="E42" s="5" t="s">
        <v>99</v>
      </c>
      <c r="F42" s="5" t="s">
        <v>99</v>
      </c>
      <c r="G42" s="5" t="s">
        <v>99</v>
      </c>
      <c r="H42" s="5" t="s">
        <v>99</v>
      </c>
      <c r="I42" s="5" t="s">
        <v>99</v>
      </c>
      <c r="J42" s="5" t="s">
        <v>99</v>
      </c>
      <c r="K42" s="5" t="s">
        <v>99</v>
      </c>
      <c r="L42" s="5" t="s">
        <v>99</v>
      </c>
      <c r="M42" s="5" t="s">
        <v>99</v>
      </c>
      <c r="N42" s="5" t="s">
        <v>99</v>
      </c>
      <c r="O42" s="5" t="s">
        <v>99</v>
      </c>
      <c r="P42" s="5" t="s">
        <v>99</v>
      </c>
      <c r="Q42" s="5" t="s">
        <v>99</v>
      </c>
      <c r="R42" s="5" t="s">
        <v>99</v>
      </c>
      <c r="S42" s="5" t="s">
        <v>99</v>
      </c>
      <c r="T42" s="5" t="s">
        <v>99</v>
      </c>
      <c r="U42" s="5" t="s">
        <v>99</v>
      </c>
      <c r="V42" s="5" t="s">
        <v>99</v>
      </c>
      <c r="W42" s="31"/>
      <c r="X42" s="31"/>
      <c r="Y42" s="31"/>
    </row>
    <row r="43" spans="1:25" ht="12.5" x14ac:dyDescent="0.25">
      <c r="A43" s="31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31"/>
      <c r="X43" s="31"/>
      <c r="Y43" s="31"/>
    </row>
    <row r="44" spans="1:25" ht="12.5" x14ac:dyDescent="0.25">
      <c r="A44" s="32" t="s">
        <v>21</v>
      </c>
      <c r="B44" s="4" t="s">
        <v>25</v>
      </c>
      <c r="C44" s="4" t="s">
        <v>25</v>
      </c>
      <c r="D44" s="4" t="s">
        <v>25</v>
      </c>
      <c r="E44" s="4" t="s">
        <v>25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  <c r="W44" s="31"/>
      <c r="X44" s="31"/>
      <c r="Y44" s="31"/>
    </row>
    <row r="45" spans="1:25" ht="12.5" x14ac:dyDescent="0.25">
      <c r="A45" s="31"/>
      <c r="B45" s="5" t="s">
        <v>99</v>
      </c>
      <c r="C45" s="5" t="s">
        <v>99</v>
      </c>
      <c r="D45" s="5" t="s">
        <v>99</v>
      </c>
      <c r="E45" s="5" t="s">
        <v>99</v>
      </c>
      <c r="F45" s="5" t="s">
        <v>99</v>
      </c>
      <c r="G45" s="5" t="s">
        <v>99</v>
      </c>
      <c r="H45" s="5" t="s">
        <v>99</v>
      </c>
      <c r="I45" s="5" t="s">
        <v>99</v>
      </c>
      <c r="J45" s="5" t="s">
        <v>99</v>
      </c>
      <c r="K45" s="5" t="s">
        <v>99</v>
      </c>
      <c r="L45" s="5" t="s">
        <v>99</v>
      </c>
      <c r="M45" s="5" t="s">
        <v>99</v>
      </c>
      <c r="N45" s="5" t="s">
        <v>99</v>
      </c>
      <c r="O45" s="5" t="s">
        <v>99</v>
      </c>
      <c r="P45" s="5" t="s">
        <v>99</v>
      </c>
      <c r="Q45" s="5" t="s">
        <v>99</v>
      </c>
      <c r="R45" s="5" t="s">
        <v>99</v>
      </c>
      <c r="S45" s="5" t="s">
        <v>99</v>
      </c>
      <c r="T45" s="5" t="s">
        <v>99</v>
      </c>
      <c r="U45" s="5" t="s">
        <v>99</v>
      </c>
      <c r="V45" s="5" t="s">
        <v>99</v>
      </c>
      <c r="W45" s="31"/>
      <c r="X45" s="31"/>
      <c r="Y45" s="31"/>
    </row>
    <row r="46" spans="1:25" ht="12.5" x14ac:dyDescent="0.25">
      <c r="A46" s="31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31"/>
      <c r="X46" s="31"/>
      <c r="Y46" s="31"/>
    </row>
    <row r="47" spans="1:25" ht="12.5" x14ac:dyDescent="0.25">
      <c r="A47" s="32" t="s">
        <v>22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5" customHeight="1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2.5" x14ac:dyDescent="0.25">
      <c r="A50" s="32" t="s">
        <v>23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1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15" customHeight="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7" spans="1:25" ht="12.5" x14ac:dyDescent="0.25">
      <c r="A57" t="s">
        <v>3</v>
      </c>
    </row>
  </sheetData>
  <mergeCells count="88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B47:B49"/>
    <mergeCell ref="B50:B52"/>
    <mergeCell ref="C47:C49"/>
    <mergeCell ref="C50:C52"/>
    <mergeCell ref="D47:D49"/>
    <mergeCell ref="D50:D52"/>
    <mergeCell ref="E47:E49"/>
    <mergeCell ref="E50:E52"/>
    <mergeCell ref="F47:F49"/>
    <mergeCell ref="F50:F52"/>
    <mergeCell ref="G47:G49"/>
    <mergeCell ref="G50:G52"/>
    <mergeCell ref="H47:H49"/>
    <mergeCell ref="H50:H52"/>
    <mergeCell ref="I47:I49"/>
    <mergeCell ref="I50:I52"/>
    <mergeCell ref="J47:J49"/>
    <mergeCell ref="J50:J52"/>
    <mergeCell ref="K47:K49"/>
    <mergeCell ref="K50:K52"/>
    <mergeCell ref="L47:L49"/>
    <mergeCell ref="L50:L52"/>
    <mergeCell ref="M47:M49"/>
    <mergeCell ref="M50:M52"/>
    <mergeCell ref="N47:N49"/>
    <mergeCell ref="N50:N52"/>
    <mergeCell ref="O47:O49"/>
    <mergeCell ref="O50:O52"/>
    <mergeCell ref="P47:P49"/>
    <mergeCell ref="P50:P52"/>
    <mergeCell ref="Q47:Q49"/>
    <mergeCell ref="Q50:Q52"/>
    <mergeCell ref="R47:R49"/>
    <mergeCell ref="R50:R52"/>
    <mergeCell ref="S47:S49"/>
    <mergeCell ref="S50:S52"/>
    <mergeCell ref="T47:T49"/>
    <mergeCell ref="T50:T52"/>
    <mergeCell ref="U47:U49"/>
    <mergeCell ref="U50:U52"/>
    <mergeCell ref="V47:V49"/>
    <mergeCell ref="V50:V52"/>
    <mergeCell ref="W32:W34"/>
    <mergeCell ref="W35:W37"/>
    <mergeCell ref="W38:W40"/>
    <mergeCell ref="W41:W43"/>
    <mergeCell ref="W44:W46"/>
    <mergeCell ref="W47:W49"/>
    <mergeCell ref="W50:W52"/>
    <mergeCell ref="Y41:Y43"/>
    <mergeCell ref="Y44:Y46"/>
    <mergeCell ref="X32:X34"/>
    <mergeCell ref="X35:X37"/>
    <mergeCell ref="X38:X40"/>
    <mergeCell ref="X41:X43"/>
    <mergeCell ref="X44:X46"/>
    <mergeCell ref="Y47:Y49"/>
    <mergeCell ref="Y50:Y52"/>
    <mergeCell ref="X47:X49"/>
    <mergeCell ref="X50:X52"/>
    <mergeCell ref="Y5:Y7"/>
    <mergeCell ref="Y8:Y10"/>
    <mergeCell ref="Y11:Y13"/>
    <mergeCell ref="Y14:Y16"/>
    <mergeCell ref="Y17:Y19"/>
    <mergeCell ref="Y20:Y22"/>
    <mergeCell ref="Y23:Y25"/>
    <mergeCell ref="Y26:Y28"/>
    <mergeCell ref="Y29:Y31"/>
    <mergeCell ref="Y32:Y34"/>
    <mergeCell ref="Y35:Y37"/>
    <mergeCell ref="Y38:Y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reformatted</vt:lpstr>
      <vt:lpstr>Sum159</vt:lpstr>
      <vt:lpstr>SNU668</vt:lpstr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Beck, Richard J</cp:lastModifiedBy>
  <dcterms:created xsi:type="dcterms:W3CDTF">2025-09-25T07:53:45Z</dcterms:created>
  <dcterms:modified xsi:type="dcterms:W3CDTF">2025-09-26T13:21:22Z</dcterms:modified>
</cp:coreProperties>
</file>