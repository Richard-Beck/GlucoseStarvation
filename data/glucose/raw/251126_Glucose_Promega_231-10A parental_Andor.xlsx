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https://moffitt-my.sharepoint.com/personal/didem_ilter_moffitt_org/Documents/Didem.Ilter_Didem owns/Lab/Other/"/>
    </mc:Choice>
  </mc:AlternateContent>
  <xr:revisionPtr revIDLastSave="4" documentId="8_{2FDCAC82-413E-46AC-92BC-272A3021E22D}" xr6:coauthVersionLast="47" xr6:coauthVersionMax="47" xr10:uidLastSave="{0196995B-8B6F-4802-8CBA-57BCAAEFEFE8}"/>
  <bookViews>
    <workbookView xWindow="28680" yWindow="1755" windowWidth="29040" windowHeight="15840" activeTab="2" xr2:uid="{00000000-000D-0000-FFFF-FFFF00000000}"/>
  </bookViews>
  <sheets>
    <sheet name="MDA-231" sheetId="8" r:id="rId1"/>
    <sheet name="10A-parental" sheetId="9" r:id="rId2"/>
    <sheet name="Luminescence 1_01" sheetId="1" r:id="rId3"/>
    <sheet name="General information" sheetId="2" r:id="rId4"/>
    <sheet name="Session information" sheetId="3" r:id="rId5"/>
    <sheet name="Instrument information" sheetId="4" r:id="rId6"/>
    <sheet name="Protocol parameters" sheetId="5" r:id="rId7"/>
    <sheet name="Run log" sheetId="6" r:id="rId8"/>
    <sheet name="Layout definitions" sheetId="7" r:id="rId9"/>
  </sheets>
  <calcPr calcId="191029"/>
  <webPublishing codePage="125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8" l="1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P10" i="9"/>
  <c r="P9" i="9"/>
  <c r="P8" i="9"/>
  <c r="H8" i="9"/>
  <c r="P7" i="9"/>
  <c r="H7" i="9"/>
  <c r="P6" i="9"/>
  <c r="H6" i="9"/>
  <c r="P5" i="9"/>
  <c r="H5" i="9"/>
  <c r="P4" i="9"/>
  <c r="H4" i="9"/>
  <c r="P3" i="9"/>
  <c r="H3" i="9"/>
  <c r="P2" i="9"/>
  <c r="O13" i="9" s="1"/>
  <c r="H2" i="9"/>
  <c r="O13" i="8"/>
  <c r="O12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P10" i="8"/>
  <c r="P9" i="8"/>
  <c r="P8" i="8"/>
  <c r="H8" i="8"/>
  <c r="P7" i="8"/>
  <c r="H7" i="8"/>
  <c r="P6" i="8"/>
  <c r="H6" i="8"/>
  <c r="P5" i="8"/>
  <c r="H5" i="8"/>
  <c r="P4" i="8"/>
  <c r="H4" i="8"/>
  <c r="P3" i="8"/>
  <c r="H3" i="8"/>
  <c r="P2" i="8"/>
  <c r="H2" i="8"/>
  <c r="J8" i="9" l="1"/>
  <c r="J21" i="9"/>
  <c r="J4" i="9"/>
  <c r="J31" i="9"/>
  <c r="O12" i="9"/>
  <c r="J38" i="9" s="1"/>
  <c r="J56" i="9" l="1"/>
  <c r="J40" i="9"/>
  <c r="J33" i="9"/>
  <c r="J52" i="9"/>
  <c r="J59" i="9"/>
  <c r="J41" i="9"/>
  <c r="J13" i="9"/>
  <c r="J48" i="9"/>
  <c r="J34" i="9"/>
  <c r="J47" i="9"/>
  <c r="J29" i="9"/>
  <c r="J12" i="9"/>
  <c r="J3" i="9"/>
  <c r="J23" i="9"/>
  <c r="J32" i="9"/>
  <c r="J53" i="9"/>
  <c r="J22" i="9"/>
  <c r="J58" i="9"/>
  <c r="J51" i="9"/>
  <c r="J35" i="9"/>
  <c r="J24" i="9"/>
  <c r="J14" i="9"/>
  <c r="J7" i="9"/>
  <c r="J17" i="9"/>
  <c r="J5" i="9"/>
  <c r="J50" i="9"/>
  <c r="J55" i="9"/>
  <c r="J46" i="9"/>
  <c r="J25" i="9"/>
  <c r="J36" i="9"/>
  <c r="J20" i="9"/>
  <c r="J16" i="9"/>
  <c r="J2" i="9"/>
  <c r="J6" i="9"/>
  <c r="J37" i="9"/>
  <c r="J39" i="9"/>
  <c r="J49" i="9"/>
  <c r="J42" i="9"/>
  <c r="J57" i="9"/>
  <c r="J54" i="9"/>
  <c r="J19" i="9"/>
  <c r="J30" i="9"/>
  <c r="J15" i="9"/>
  <c r="J18" i="9"/>
  <c r="J23" i="8"/>
  <c r="J5" i="8"/>
  <c r="J7" i="8"/>
  <c r="J39" i="8"/>
  <c r="J42" i="8"/>
  <c r="J22" i="8"/>
  <c r="J57" i="8"/>
  <c r="J12" i="8"/>
  <c r="J51" i="8"/>
  <c r="J37" i="8"/>
  <c r="J18" i="8"/>
  <c r="J53" i="8"/>
  <c r="J38" i="8"/>
  <c r="J54" i="8"/>
  <c r="J16" i="8"/>
  <c r="J24" i="8"/>
  <c r="J30" i="8"/>
  <c r="J50" i="8"/>
  <c r="J36" i="8"/>
  <c r="J6" i="8"/>
  <c r="J15" i="8"/>
  <c r="J34" i="8"/>
  <c r="J21" i="8"/>
  <c r="J59" i="8"/>
  <c r="J56" i="8"/>
  <c r="J19" i="8"/>
  <c r="J35" i="8"/>
  <c r="J47" i="8"/>
  <c r="J41" i="8"/>
  <c r="J52" i="8"/>
  <c r="J20" i="8"/>
  <c r="J32" i="8"/>
  <c r="J29" i="8"/>
  <c r="J58" i="8"/>
  <c r="J3" i="8"/>
  <c r="J4" i="8"/>
  <c r="J17" i="8"/>
  <c r="J14" i="8"/>
  <c r="J40" i="8"/>
  <c r="J49" i="8"/>
  <c r="J48" i="8"/>
  <c r="J46" i="8"/>
  <c r="J55" i="8"/>
  <c r="J13" i="8"/>
  <c r="J8" i="8"/>
  <c r="J33" i="8"/>
  <c r="J31" i="8"/>
  <c r="J25" i="8"/>
</calcChain>
</file>

<file path=xl/sharedStrings.xml><?xml version="1.0" encoding="utf-8"?>
<sst xmlns="http://schemas.openxmlformats.org/spreadsheetml/2006/main" count="1167" uniqueCount="114">
  <si>
    <t>Measurement results</t>
  </si>
  <si>
    <t>251126_Glucose_Promega_231-10A parental_Andor.skax</t>
  </si>
  <si>
    <t>2025-11-27T02:26:30-05:00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</si>
  <si>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</si>
  <si>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</si>
  <si>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</si>
  <si>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</si>
  <si>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</si>
  <si>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</si>
  <si>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</si>
  <si>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</si>
  <si>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</si>
  <si>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</si>
  <si>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</si>
  <si>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</si>
  <si>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</si>
  <si>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</si>
  <si>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</si>
  <si>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</si>
  <si>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</si>
  <si>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</si>
  <si>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</si>
  <si>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</si>
  <si>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</si>
  <si>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Sample</t>
  </si>
  <si>
    <t>Blank1</t>
  </si>
  <si>
    <t>Autoloading range A1 - Y44</t>
  </si>
  <si>
    <t>General information</t>
  </si>
  <si>
    <t>Report generated with SW version</t>
  </si>
  <si>
    <t>SkanIt Software 7.1 RE for Microplate Readers RE, ver. 7.1.0.44</t>
  </si>
  <si>
    <t>Time zone</t>
  </si>
  <si>
    <t>(UTC-05:00) Eastern Time (US &amp; Canada)</t>
  </si>
  <si>
    <t>Session information</t>
  </si>
  <si>
    <t>Session name</t>
  </si>
  <si>
    <t>Session notes</t>
  </si>
  <si>
    <t>Executed with</t>
  </si>
  <si>
    <t>SkanIt Software for Microplate Readers RE, ver 7.1.0.44</t>
  </si>
  <si>
    <t>Execution time</t>
  </si>
  <si>
    <t>Instrument information</t>
  </si>
  <si>
    <t>Name</t>
  </si>
  <si>
    <t>Varioskan LUX</t>
  </si>
  <si>
    <t>ESW version</t>
  </si>
  <si>
    <t>1.00.38</t>
  </si>
  <si>
    <t>Optical response compensation</t>
  </si>
  <si>
    <t>Yes</t>
  </si>
  <si>
    <t>Serial number</t>
  </si>
  <si>
    <t>3020-80610</t>
  </si>
  <si>
    <t>Instrument modules</t>
  </si>
  <si>
    <t>Module's name</t>
  </si>
  <si>
    <t>LAT module</t>
  </si>
  <si>
    <t>Module's serial number</t>
  </si>
  <si>
    <t>LL2019805</t>
  </si>
  <si>
    <t>Plate adapter name</t>
  </si>
  <si>
    <t>384-well adapter for plate without lid</t>
  </si>
  <si>
    <t>Plate adapter number</t>
  </si>
  <si>
    <t>4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</si>
  <si>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</si>
  <si>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</si>
  <si>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</si>
  <si>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</si>
  <si>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</si>
  <si>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</si>
  <si>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</si>
  <si>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</si>
  <si>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7</t>
  </si>
  <si>
    <t>Use settle delay</t>
  </si>
  <si>
    <t>Check temperature at start [°C]</t>
  </si>
  <si>
    <t>Plate with lid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</si>
  <si>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</si>
  <si>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</si>
  <si>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</si>
  <si>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</si>
  <si>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</si>
  <si>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</si>
  <si>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</si>
  <si>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</si>
  <si>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</si>
  <si>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</si>
  <si>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</si>
  <si>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Session 251126_Glucose_Promega_231-10A parental_Andor.skax started</t>
  </si>
  <si>
    <t>Temperature</t>
  </si>
  <si>
    <t>24.0°C</t>
  </si>
  <si>
    <t>Step Luminescence 1 started</t>
  </si>
  <si>
    <t>2025-11-27T02:26:38-05:00</t>
  </si>
  <si>
    <t>Calibration</t>
  </si>
  <si>
    <t>Luminometric 0.91578 193196731</t>
  </si>
  <si>
    <t>2025-11-27T02:27:22-05:00</t>
  </si>
  <si>
    <t>2025-11-27T02:28:22-05:00</t>
  </si>
  <si>
    <t>2025-11-27T02:29:22-05:00</t>
  </si>
  <si>
    <t>2025-11-27T02:30:22-05:00</t>
  </si>
  <si>
    <t>2025-11-27T02:31:22-05:00</t>
  </si>
  <si>
    <t>2025-11-27T02:32:22-05:00</t>
  </si>
  <si>
    <t>2025-11-27T02:32:55-05:00</t>
  </si>
  <si>
    <t>Step Luminescence 1 ended</t>
  </si>
  <si>
    <t>2025-11-27T02:33:07-05:00</t>
  </si>
  <si>
    <t>Session 251126_Glucose_Promega_231-10A parental_Andor.skax ended</t>
  </si>
  <si>
    <t>Plate template</t>
  </si>
  <si>
    <t>Greiner, F-bottom, 384-well</t>
  </si>
  <si>
    <t>Group 1</t>
  </si>
  <si>
    <t>Day 0 Media</t>
  </si>
  <si>
    <t>Dilution Factor</t>
  </si>
  <si>
    <t>Average</t>
  </si>
  <si>
    <t>[Glucose] mM</t>
  </si>
  <si>
    <t>uM</t>
  </si>
  <si>
    <t>average</t>
  </si>
  <si>
    <t>Day1</t>
  </si>
  <si>
    <t>2N</t>
  </si>
  <si>
    <t>slope</t>
  </si>
  <si>
    <t>y-intercept</t>
  </si>
  <si>
    <t>4N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</si>
  <si>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</si>
  <si>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</t>
  </si>
  <si>
    <t>Day2</t>
  </si>
  <si>
    <t>Day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</si>
</sst>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F4F5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1" fillId="0" borderId="0" xfId="1"/>
    <xf numFmtId="1" fontId="1" fillId="0" borderId="0" xfId="1" applyNumberFormat="1"/>
    <xf numFmtId="0" fontId="1" fillId="0" borderId="0" xfId="1" applyAlignment="1">
      <alignment horizontal="right"/>
    </xf>
    <xf numFmtId="0" fontId="2" fillId="0" borderId="0" xfId="1" applyFont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3" fillId="3" borderId="0" xfId="0" applyFont="1" applyFill="1" applyAlignment="1">
      <alignment horizontal="right"/>
    </xf>
  </cellXfs>
  <cellStyles count="2">
    <cellStyle name="Normal" xfId="0" builtinId="0"/>
    <cellStyle name="Normal 2" xfId="1" xr:uid="{6DCE1F5E-88F8-4385-ADCA-F69FC9F7114C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95540372268283"/>
                  <c:y val="-0.190172413793103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'MDA-231'!$L$2:$L$10</c:f>
              <c:numCache>
                <c:formatCode>General</c:formatCode>
                <c:ptCount val="9"/>
                <c:pt idx="0">
                  <c:v>0</c:v>
                </c:pt>
                <c:pt idx="1">
                  <c:v>4.0000000000000001E-3</c:v>
                </c:pt>
                <c:pt idx="2">
                  <c:v>0.02</c:v>
                </c:pt>
                <c:pt idx="3">
                  <c:v>0.1</c:v>
                </c:pt>
                <c:pt idx="4">
                  <c:v>0.5</c:v>
                </c:pt>
                <c:pt idx="5">
                  <c:v>2</c:v>
                </c:pt>
                <c:pt idx="6">
                  <c:v>10</c:v>
                </c:pt>
                <c:pt idx="7">
                  <c:v>25</c:v>
                </c:pt>
                <c:pt idx="8">
                  <c:v>50</c:v>
                </c:pt>
              </c:numCache>
            </c:numRef>
          </c:xVal>
          <c:yVal>
            <c:numRef>
              <c:f>'MDA-231'!$P$2:$P$10</c:f>
              <c:numCache>
                <c:formatCode>General</c:formatCode>
                <c:ptCount val="9"/>
                <c:pt idx="0">
                  <c:v>2627.2200000000003</c:v>
                </c:pt>
                <c:pt idx="1">
                  <c:v>2600.8649999999998</c:v>
                </c:pt>
                <c:pt idx="2">
                  <c:v>3045.3500000000004</c:v>
                </c:pt>
                <c:pt idx="3">
                  <c:v>3433.84</c:v>
                </c:pt>
                <c:pt idx="4">
                  <c:v>6236.79</c:v>
                </c:pt>
                <c:pt idx="5">
                  <c:v>15237.05</c:v>
                </c:pt>
                <c:pt idx="6">
                  <c:v>72460.350000000006</c:v>
                </c:pt>
                <c:pt idx="7">
                  <c:v>197201.5</c:v>
                </c:pt>
                <c:pt idx="8">
                  <c:v>413535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C8-4510-8C9C-42FAD3BDA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70847"/>
        <c:axId val="2136779167"/>
      </c:scatterChart>
      <c:valAx>
        <c:axId val="21367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9167"/>
        <c:crosses val="autoZero"/>
        <c:crossBetween val="midCat"/>
      </c:valAx>
      <c:valAx>
        <c:axId val="21367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195540372268283"/>
                  <c:y val="-0.190172413793103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'10A-parental'!$L$2:$L$10</c:f>
              <c:numCache>
                <c:formatCode>General</c:formatCode>
                <c:ptCount val="9"/>
                <c:pt idx="0">
                  <c:v>0</c:v>
                </c:pt>
                <c:pt idx="1">
                  <c:v>4.0000000000000001E-3</c:v>
                </c:pt>
                <c:pt idx="2">
                  <c:v>0.02</c:v>
                </c:pt>
                <c:pt idx="3">
                  <c:v>0.1</c:v>
                </c:pt>
                <c:pt idx="4">
                  <c:v>0.5</c:v>
                </c:pt>
                <c:pt idx="5">
                  <c:v>2</c:v>
                </c:pt>
                <c:pt idx="6">
                  <c:v>10</c:v>
                </c:pt>
                <c:pt idx="7">
                  <c:v>25</c:v>
                </c:pt>
                <c:pt idx="8">
                  <c:v>50</c:v>
                </c:pt>
              </c:numCache>
            </c:numRef>
          </c:xVal>
          <c:yVal>
            <c:numRef>
              <c:f>'10A-parental'!$P$2:$P$10</c:f>
              <c:numCache>
                <c:formatCode>General</c:formatCode>
                <c:ptCount val="9"/>
                <c:pt idx="0">
                  <c:v>2627.2200000000003</c:v>
                </c:pt>
                <c:pt idx="1">
                  <c:v>2600.8649999999998</c:v>
                </c:pt>
                <c:pt idx="2">
                  <c:v>3045.3500000000004</c:v>
                </c:pt>
                <c:pt idx="3">
                  <c:v>3433.84</c:v>
                </c:pt>
                <c:pt idx="4">
                  <c:v>6236.79</c:v>
                </c:pt>
                <c:pt idx="5">
                  <c:v>15237.05</c:v>
                </c:pt>
                <c:pt idx="6">
                  <c:v>72460.350000000006</c:v>
                </c:pt>
                <c:pt idx="7">
                  <c:v>197201.5</c:v>
                </c:pt>
                <c:pt idx="8">
                  <c:v>413535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79-4CC0-B85F-AF5B00408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770847"/>
        <c:axId val="2136779167"/>
      </c:scatterChart>
      <c:valAx>
        <c:axId val="2136770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9167"/>
        <c:crosses val="autoZero"/>
        <c:crossBetween val="midCat"/>
      </c:valAx>
      <c:valAx>
        <c:axId val="213677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770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0</xdr:row>
      <xdr:rowOff>0</xdr:rowOff>
    </xdr:from>
    <xdr:to>
      <xdr:col>25</xdr:col>
      <xdr:colOff>76200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56F92F-6229-4EE0-8A67-ECD431BEB9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19050</xdr:colOff>
      <xdr:row>0</xdr:row>
      <xdr:rowOff>0</xdr:rowOff>
    </xdr:from>
    <xdr:to>
      <xdr:col>25</xdr:col>
      <xdr:colOff>76200</xdr:colOff>
      <xdr:row>13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1D21DD-547C-42F9-ACEA-FDA100602F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5C9CD-1401-45BB-8910-CC1D102879E0}">
  <dimension ref="A1:AA60"/>
  <sheetViews>
    <sheetView workbookViewId="0">
      <selection activeCell="J3" sqref="J3"/>
    </sheetView>
  </sheetViews>
  <sheetFormatPr defaultRowHeight="12.75" x14ac:dyDescent="0.2"/>
  <cols>
    <col min="1" max="5" width="9.140625" style="7"/>
    <col min="6" max="6" width="2.28515625" style="7" customWidth="1"/>
    <col min="7" max="7" width="9.140625" style="7"/>
    <col min="8" max="8" width="9.140625" style="8"/>
    <col min="9" max="9" width="1.7109375" style="7" customWidth="1"/>
    <col min="10" max="10" width="11" style="7" bestFit="1" customWidth="1"/>
    <col min="11" max="14" width="9.140625" style="7"/>
    <col min="15" max="15" width="12" style="7" bestFit="1" customWidth="1"/>
    <col min="16" max="16384" width="9.140625" style="7"/>
  </cols>
  <sheetData>
    <row r="1" spans="1:17" x14ac:dyDescent="0.2">
      <c r="B1" s="7" t="s">
        <v>99</v>
      </c>
      <c r="G1" s="7" t="s">
        <v>100</v>
      </c>
      <c r="H1" s="8" t="s">
        <v>101</v>
      </c>
      <c r="J1" s="7" t="s">
        <v>102</v>
      </c>
      <c r="L1" s="7" t="s">
        <v>103</v>
      </c>
      <c r="P1" s="7" t="s">
        <v>104</v>
      </c>
    </row>
    <row r="2" spans="1:17" x14ac:dyDescent="0.2">
      <c r="B2" s="7">
        <v>0</v>
      </c>
      <c r="C2" s="17">
        <v>5159.4799999999996</v>
      </c>
      <c r="D2" s="17">
        <v>5974.79</v>
      </c>
      <c r="E2" s="18">
        <v>5568.45</v>
      </c>
      <c r="F2" s="9"/>
      <c r="G2" s="9">
        <v>10</v>
      </c>
      <c r="H2" s="8">
        <f>AVERAGE(C2:E2)</f>
        <v>5567.5733333333337</v>
      </c>
      <c r="J2" s="7">
        <f>((H2-$O$13)/$O$12)*G2/1000</f>
        <v>6.6432221499488102E-3</v>
      </c>
      <c r="L2" s="10">
        <v>0</v>
      </c>
      <c r="M2" s="1">
        <v>2917.57</v>
      </c>
      <c r="N2" s="1">
        <v>2336.87</v>
      </c>
      <c r="P2" s="10">
        <f t="shared" ref="P2:P10" si="0">AVERAGE(M2:N2)</f>
        <v>2627.2200000000003</v>
      </c>
      <c r="Q2" s="10"/>
    </row>
    <row r="3" spans="1:17" x14ac:dyDescent="0.2">
      <c r="B3" s="7">
        <v>0.1</v>
      </c>
      <c r="C3" s="1">
        <v>78317.5</v>
      </c>
      <c r="D3" s="1">
        <v>84218.7</v>
      </c>
      <c r="E3" s="20">
        <v>80531.7</v>
      </c>
      <c r="F3" s="9"/>
      <c r="G3" s="9">
        <v>10</v>
      </c>
      <c r="H3" s="8">
        <f t="shared" ref="H3:H8" si="1">AVERAGE(C3:E3)</f>
        <v>81022.633333333346</v>
      </c>
      <c r="J3" s="7">
        <f t="shared" ref="J3:J8" si="2">((H3-$O$13)/$O$12)*G3/1000</f>
        <v>9.9106303590568101E-2</v>
      </c>
      <c r="L3" s="7">
        <v>4.0000000000000001E-3</v>
      </c>
      <c r="M3" s="1">
        <v>2709.09</v>
      </c>
      <c r="N3" s="1">
        <v>2492.64</v>
      </c>
      <c r="P3" s="7">
        <f t="shared" si="0"/>
        <v>2600.8649999999998</v>
      </c>
    </row>
    <row r="4" spans="1:17" x14ac:dyDescent="0.2">
      <c r="B4" s="7">
        <v>0.25</v>
      </c>
      <c r="C4" s="1">
        <v>207688</v>
      </c>
      <c r="D4" s="1">
        <v>227627</v>
      </c>
      <c r="E4" s="20">
        <v>211219</v>
      </c>
      <c r="F4" s="9"/>
      <c r="G4" s="9">
        <v>10</v>
      </c>
      <c r="H4" s="8">
        <f t="shared" si="1"/>
        <v>215511.33333333334</v>
      </c>
      <c r="J4" s="7">
        <f t="shared" si="2"/>
        <v>0.26390956027001433</v>
      </c>
      <c r="L4" s="7">
        <v>0.02</v>
      </c>
      <c r="M4" s="1">
        <v>3387.9</v>
      </c>
      <c r="N4" s="1">
        <v>2702.8</v>
      </c>
      <c r="P4" s="7">
        <f t="shared" si="0"/>
        <v>3045.3500000000004</v>
      </c>
    </row>
    <row r="5" spans="1:17" x14ac:dyDescent="0.2">
      <c r="B5" s="7">
        <v>0.5</v>
      </c>
      <c r="C5" s="1">
        <v>514414</v>
      </c>
      <c r="D5" s="1">
        <v>540595</v>
      </c>
      <c r="E5" s="20">
        <v>504299</v>
      </c>
      <c r="F5" s="9"/>
      <c r="G5" s="9">
        <v>10</v>
      </c>
      <c r="H5" s="8">
        <f t="shared" si="1"/>
        <v>519769.33333333331</v>
      </c>
      <c r="J5" s="7">
        <f t="shared" si="2"/>
        <v>0.63674913170445402</v>
      </c>
      <c r="L5" s="7">
        <v>0.1</v>
      </c>
      <c r="M5" s="1">
        <v>3527.86</v>
      </c>
      <c r="N5" s="1">
        <v>3339.82</v>
      </c>
      <c r="P5" s="7">
        <f t="shared" si="0"/>
        <v>3433.84</v>
      </c>
    </row>
    <row r="6" spans="1:17" x14ac:dyDescent="0.2">
      <c r="B6" s="7">
        <v>1</v>
      </c>
      <c r="C6" s="1">
        <v>82998</v>
      </c>
      <c r="D6" s="1">
        <v>91295.3</v>
      </c>
      <c r="E6" s="20">
        <v>84879.4</v>
      </c>
      <c r="F6" s="9"/>
      <c r="G6" s="9">
        <v>100</v>
      </c>
      <c r="H6" s="8">
        <f t="shared" si="1"/>
        <v>86390.9</v>
      </c>
      <c r="J6" s="7">
        <f t="shared" si="2"/>
        <v>1.0568460964446245</v>
      </c>
      <c r="L6" s="7">
        <v>0.5</v>
      </c>
      <c r="M6" s="1">
        <v>6232.95</v>
      </c>
      <c r="N6" s="1">
        <v>6240.63</v>
      </c>
      <c r="P6" s="7">
        <f t="shared" si="0"/>
        <v>6236.79</v>
      </c>
    </row>
    <row r="7" spans="1:17" x14ac:dyDescent="0.2">
      <c r="B7" s="7">
        <v>5</v>
      </c>
      <c r="C7" s="1">
        <v>398927</v>
      </c>
      <c r="D7" s="1">
        <v>431669</v>
      </c>
      <c r="E7" s="20">
        <v>412862</v>
      </c>
      <c r="F7" s="9"/>
      <c r="G7" s="9">
        <v>100</v>
      </c>
      <c r="H7" s="8">
        <f t="shared" si="1"/>
        <v>414486</v>
      </c>
      <c r="J7" s="7">
        <f t="shared" si="2"/>
        <v>5.0773430586852122</v>
      </c>
      <c r="L7" s="7">
        <v>2</v>
      </c>
      <c r="M7" s="1">
        <v>14876.4</v>
      </c>
      <c r="N7" s="1">
        <v>15597.7</v>
      </c>
      <c r="P7" s="7">
        <f t="shared" si="0"/>
        <v>15237.05</v>
      </c>
    </row>
    <row r="8" spans="1:17" x14ac:dyDescent="0.2">
      <c r="B8" s="7">
        <v>25</v>
      </c>
      <c r="C8" s="22">
        <v>370786</v>
      </c>
      <c r="D8" s="22">
        <v>376247</v>
      </c>
      <c r="E8" s="23">
        <v>391189</v>
      </c>
      <c r="F8" s="9"/>
      <c r="G8" s="9">
        <v>500</v>
      </c>
      <c r="H8" s="8">
        <f t="shared" si="1"/>
        <v>379407.33333333331</v>
      </c>
      <c r="J8" s="7">
        <f t="shared" si="2"/>
        <v>23.237434905319326</v>
      </c>
      <c r="L8" s="7">
        <v>10</v>
      </c>
      <c r="M8" s="1">
        <v>72248.5</v>
      </c>
      <c r="N8" s="1">
        <v>72672.2</v>
      </c>
      <c r="P8" s="7">
        <f t="shared" si="0"/>
        <v>72460.350000000006</v>
      </c>
    </row>
    <row r="9" spans="1:17" x14ac:dyDescent="0.2">
      <c r="L9" s="7">
        <v>25</v>
      </c>
      <c r="M9" s="1">
        <v>195683</v>
      </c>
      <c r="N9" s="1">
        <v>198720</v>
      </c>
      <c r="P9" s="7">
        <f t="shared" si="0"/>
        <v>197201.5</v>
      </c>
    </row>
    <row r="10" spans="1:17" x14ac:dyDescent="0.2">
      <c r="C10" s="9"/>
      <c r="D10" s="9"/>
      <c r="E10" s="9"/>
      <c r="F10" s="9"/>
      <c r="G10" s="9"/>
      <c r="L10" s="7">
        <v>50</v>
      </c>
      <c r="M10" s="1">
        <v>422916</v>
      </c>
      <c r="N10" s="1">
        <v>404154</v>
      </c>
      <c r="P10" s="7">
        <f t="shared" si="0"/>
        <v>413535</v>
      </c>
    </row>
    <row r="11" spans="1:17" ht="13.5" thickBot="1" x14ac:dyDescent="0.25">
      <c r="B11" s="7" t="s">
        <v>105</v>
      </c>
    </row>
    <row r="12" spans="1:17" x14ac:dyDescent="0.2">
      <c r="A12" s="11" t="s">
        <v>106</v>
      </c>
      <c r="B12" s="12">
        <v>0</v>
      </c>
      <c r="C12" s="16">
        <v>3483.56</v>
      </c>
      <c r="D12" s="17">
        <v>3956.28</v>
      </c>
      <c r="E12" s="17">
        <v>3742.52</v>
      </c>
      <c r="F12" s="9"/>
      <c r="G12" s="9">
        <v>10</v>
      </c>
      <c r="H12" s="8">
        <f>AVERAGE(C12:E12)</f>
        <v>3727.4533333333334</v>
      </c>
      <c r="J12" s="7">
        <f>((H12-$O$13)/$O$12)*G12/1000</f>
        <v>4.3883281054604437E-3</v>
      </c>
      <c r="N12" s="7" t="s">
        <v>107</v>
      </c>
      <c r="O12" s="7">
        <f>SLOPE(P2:P10,L2:L10)</f>
        <v>8160.5608232360282</v>
      </c>
    </row>
    <row r="13" spans="1:17" x14ac:dyDescent="0.2">
      <c r="A13" s="13"/>
      <c r="B13" s="7">
        <v>0.1</v>
      </c>
      <c r="C13" s="19">
        <v>24167.3</v>
      </c>
      <c r="D13" s="1">
        <v>27368.3</v>
      </c>
      <c r="E13" s="1">
        <v>27549.3</v>
      </c>
      <c r="F13" s="9"/>
      <c r="G13" s="9">
        <v>10</v>
      </c>
      <c r="H13" s="8">
        <f t="shared" ref="H13:H25" si="3">AVERAGE(C13:E13)</f>
        <v>26361.633333333331</v>
      </c>
      <c r="J13" s="7">
        <f t="shared" ref="J13:J25" si="4">((H13-$O$13)/$O$12)*G13/1000</f>
        <v>3.2124387538474422E-2</v>
      </c>
      <c r="N13" s="7" t="s">
        <v>108</v>
      </c>
      <c r="O13" s="7">
        <f>INTERCEPT(P2:P10,L2:L10)</f>
        <v>146.33149164072529</v>
      </c>
    </row>
    <row r="14" spans="1:17" x14ac:dyDescent="0.2">
      <c r="A14" s="13"/>
      <c r="B14" s="7">
        <v>0.25</v>
      </c>
      <c r="C14" s="19">
        <v>81358.399999999994</v>
      </c>
      <c r="D14" s="1">
        <v>74309.899999999994</v>
      </c>
      <c r="E14" s="1">
        <v>76938.3</v>
      </c>
      <c r="F14" s="9"/>
      <c r="G14" s="9">
        <v>10</v>
      </c>
      <c r="H14" s="8">
        <f t="shared" si="3"/>
        <v>77535.533333333326</v>
      </c>
      <c r="J14" s="7">
        <f t="shared" si="4"/>
        <v>9.4833190411788768E-2</v>
      </c>
    </row>
    <row r="15" spans="1:17" x14ac:dyDescent="0.2">
      <c r="A15" s="13"/>
      <c r="B15" s="7">
        <v>0.5</v>
      </c>
      <c r="C15" s="19">
        <v>285036</v>
      </c>
      <c r="D15" s="1">
        <v>314873</v>
      </c>
      <c r="E15" s="1">
        <v>290848</v>
      </c>
      <c r="F15" s="9"/>
      <c r="G15" s="9">
        <v>10</v>
      </c>
      <c r="H15" s="8">
        <f t="shared" si="3"/>
        <v>296919</v>
      </c>
      <c r="J15" s="7">
        <f t="shared" si="4"/>
        <v>0.36366700149252201</v>
      </c>
    </row>
    <row r="16" spans="1:17" x14ac:dyDescent="0.2">
      <c r="A16" s="13"/>
      <c r="B16" s="7">
        <v>1</v>
      </c>
      <c r="C16" s="19">
        <v>60474.1</v>
      </c>
      <c r="D16" s="1">
        <v>65226</v>
      </c>
      <c r="E16" s="1">
        <v>61053.7</v>
      </c>
      <c r="F16" s="9"/>
      <c r="G16" s="9">
        <v>100</v>
      </c>
      <c r="H16" s="8">
        <f t="shared" si="3"/>
        <v>62251.266666666663</v>
      </c>
      <c r="J16" s="7">
        <f t="shared" si="4"/>
        <v>0.76103758700248925</v>
      </c>
    </row>
    <row r="17" spans="1:27" x14ac:dyDescent="0.2">
      <c r="A17" s="13"/>
      <c r="B17" s="7">
        <v>5</v>
      </c>
      <c r="C17" s="19">
        <v>344791</v>
      </c>
      <c r="D17" s="1">
        <v>380916</v>
      </c>
      <c r="E17" s="1">
        <v>351803</v>
      </c>
      <c r="F17" s="9"/>
      <c r="G17" s="9">
        <v>100</v>
      </c>
      <c r="H17" s="8">
        <f t="shared" si="3"/>
        <v>359170</v>
      </c>
      <c r="J17" s="7">
        <f t="shared" si="4"/>
        <v>4.3994974890217202</v>
      </c>
    </row>
    <row r="18" spans="1:27" ht="13.5" thickBot="1" x14ac:dyDescent="0.25">
      <c r="A18" s="14"/>
      <c r="B18" s="15">
        <v>25</v>
      </c>
      <c r="C18" s="21">
        <v>328898</v>
      </c>
      <c r="D18" s="22">
        <v>355363</v>
      </c>
      <c r="E18" s="22">
        <v>339001</v>
      </c>
      <c r="F18" s="9"/>
      <c r="G18" s="9">
        <v>500</v>
      </c>
      <c r="H18" s="8">
        <f t="shared" si="3"/>
        <v>341087.33333333331</v>
      </c>
      <c r="J18" s="7">
        <f t="shared" si="4"/>
        <v>20.889557055374915</v>
      </c>
    </row>
    <row r="19" spans="1:27" x14ac:dyDescent="0.2">
      <c r="A19" s="11" t="s">
        <v>109</v>
      </c>
      <c r="B19" s="12">
        <v>0</v>
      </c>
      <c r="C19" s="17">
        <v>3879.92</v>
      </c>
      <c r="D19" s="17">
        <v>3727.08</v>
      </c>
      <c r="E19" s="17">
        <v>3497.57</v>
      </c>
      <c r="F19" s="9"/>
      <c r="G19" s="9">
        <v>10</v>
      </c>
      <c r="H19" s="8">
        <f t="shared" si="3"/>
        <v>3701.5233333333331</v>
      </c>
      <c r="J19" s="7">
        <f t="shared" si="4"/>
        <v>4.3565533285037329E-3</v>
      </c>
    </row>
    <row r="20" spans="1:27" x14ac:dyDescent="0.2">
      <c r="A20" s="13"/>
      <c r="B20" s="7">
        <v>0.1</v>
      </c>
      <c r="C20" s="1">
        <v>25654.799999999999</v>
      </c>
      <c r="D20" s="1">
        <v>24189.7</v>
      </c>
      <c r="E20" s="1">
        <v>26017.8</v>
      </c>
      <c r="F20" s="9"/>
      <c r="G20" s="9">
        <v>10</v>
      </c>
      <c r="H20" s="8">
        <f t="shared" si="3"/>
        <v>25287.433333333334</v>
      </c>
      <c r="J20" s="7">
        <f t="shared" si="4"/>
        <v>3.0808056439095368E-2</v>
      </c>
      <c r="M20" s="7" t="s">
        <v>110</v>
      </c>
    </row>
    <row r="21" spans="1:27" x14ac:dyDescent="0.2">
      <c r="A21" s="13"/>
      <c r="B21" s="7">
        <v>0.25</v>
      </c>
      <c r="C21" s="1">
        <v>83330.600000000006</v>
      </c>
      <c r="D21" s="1">
        <v>78445.600000000006</v>
      </c>
      <c r="E21" s="1">
        <v>82282.600000000006</v>
      </c>
      <c r="F21" s="9"/>
      <c r="G21" s="9">
        <v>10</v>
      </c>
      <c r="H21" s="8">
        <f t="shared" si="3"/>
        <v>81352.933333333334</v>
      </c>
      <c r="J21" s="7">
        <f t="shared" si="4"/>
        <v>9.9511055184428557E-2</v>
      </c>
    </row>
    <row r="22" spans="1:27" x14ac:dyDescent="0.2">
      <c r="A22" s="13"/>
      <c r="B22" s="7">
        <v>0.5</v>
      </c>
      <c r="C22" s="1">
        <v>304549</v>
      </c>
      <c r="D22" s="1">
        <v>298098</v>
      </c>
      <c r="E22" s="1">
        <v>352609</v>
      </c>
      <c r="F22" s="9"/>
      <c r="G22" s="9">
        <v>10</v>
      </c>
      <c r="H22" s="8">
        <f t="shared" si="3"/>
        <v>318418.66666666669</v>
      </c>
      <c r="J22" s="7">
        <f t="shared" si="4"/>
        <v>0.39001282150706001</v>
      </c>
    </row>
    <row r="23" spans="1:27" x14ac:dyDescent="0.2">
      <c r="A23" s="13"/>
      <c r="B23" s="7">
        <v>1</v>
      </c>
      <c r="C23" s="1">
        <v>67988.5</v>
      </c>
      <c r="D23" s="1">
        <v>63551.4</v>
      </c>
      <c r="E23" s="1">
        <v>68141.3</v>
      </c>
      <c r="F23" s="9"/>
      <c r="G23" s="9">
        <v>100</v>
      </c>
      <c r="H23" s="8">
        <f t="shared" si="3"/>
        <v>66560.400000000009</v>
      </c>
      <c r="J23" s="7">
        <f t="shared" si="4"/>
        <v>0.81384196438135403</v>
      </c>
      <c r="AA23" s="7" t="s">
        <v>111</v>
      </c>
    </row>
    <row r="24" spans="1:27" x14ac:dyDescent="0.2">
      <c r="A24" s="13"/>
      <c r="B24" s="7">
        <v>5</v>
      </c>
      <c r="C24" s="1">
        <v>394047</v>
      </c>
      <c r="D24" s="1">
        <v>358157</v>
      </c>
      <c r="E24" s="1">
        <v>419047</v>
      </c>
      <c r="F24" s="9"/>
      <c r="G24" s="9">
        <v>100</v>
      </c>
      <c r="H24" s="8">
        <f t="shared" si="3"/>
        <v>390417</v>
      </c>
      <c r="J24" s="7">
        <f t="shared" si="4"/>
        <v>4.7824000943307654</v>
      </c>
    </row>
    <row r="25" spans="1:27" ht="13.5" thickBot="1" x14ac:dyDescent="0.25">
      <c r="A25" s="14"/>
      <c r="B25" s="15">
        <v>25</v>
      </c>
      <c r="C25" s="22">
        <v>362731</v>
      </c>
      <c r="D25" s="22">
        <v>338661</v>
      </c>
      <c r="E25" s="22">
        <v>364530</v>
      </c>
      <c r="F25" s="9"/>
      <c r="G25" s="9">
        <v>500</v>
      </c>
      <c r="H25" s="8">
        <f t="shared" si="3"/>
        <v>355307.33333333331</v>
      </c>
      <c r="J25" s="7">
        <f t="shared" si="4"/>
        <v>21.760820704284349</v>
      </c>
    </row>
    <row r="26" spans="1:27" x14ac:dyDescent="0.2">
      <c r="C26" s="9"/>
      <c r="D26" s="9"/>
      <c r="E26" s="9"/>
      <c r="F26" s="9"/>
      <c r="G26" s="9"/>
    </row>
    <row r="28" spans="1:27" ht="13.5" thickBot="1" x14ac:dyDescent="0.25">
      <c r="B28" s="7" t="s">
        <v>112</v>
      </c>
    </row>
    <row r="29" spans="1:27" x14ac:dyDescent="0.2">
      <c r="A29" s="11" t="s">
        <v>106</v>
      </c>
      <c r="B29" s="12">
        <v>0</v>
      </c>
      <c r="C29" s="17">
        <v>3071.32</v>
      </c>
      <c r="D29" s="17">
        <v>2883.63</v>
      </c>
      <c r="E29" s="17">
        <v>2895.22</v>
      </c>
      <c r="F29" s="9"/>
      <c r="G29" s="9">
        <v>10</v>
      </c>
      <c r="H29" s="8">
        <f t="shared" ref="H29:H42" si="5">AVERAGE(C29:E29)</f>
        <v>2950.0566666666668</v>
      </c>
      <c r="J29" s="7">
        <f>((H29-$O$13)/$O$12)*G29/1000</f>
        <v>3.4357015844336774E-3</v>
      </c>
    </row>
    <row r="30" spans="1:27" x14ac:dyDescent="0.2">
      <c r="A30" s="13"/>
      <c r="B30" s="7">
        <v>0.1</v>
      </c>
      <c r="C30" s="1">
        <v>6483.47</v>
      </c>
      <c r="D30" s="1">
        <v>6668.67</v>
      </c>
      <c r="E30" s="1">
        <v>6302.26</v>
      </c>
      <c r="F30" s="9"/>
      <c r="G30" s="9">
        <v>10</v>
      </c>
      <c r="H30" s="8">
        <f t="shared" si="5"/>
        <v>6484.8</v>
      </c>
      <c r="J30" s="7">
        <f t="shared" ref="J30:J42" si="6">((H30-$O$13)/$O$12)*G30/1000</f>
        <v>7.7671971885944317E-3</v>
      </c>
    </row>
    <row r="31" spans="1:27" x14ac:dyDescent="0.2">
      <c r="A31" s="13"/>
      <c r="B31" s="7">
        <v>0.25</v>
      </c>
      <c r="C31" s="1">
        <v>13603.4</v>
      </c>
      <c r="D31" s="1">
        <v>14999.9</v>
      </c>
      <c r="E31" s="1">
        <v>13558.1</v>
      </c>
      <c r="F31" s="9"/>
      <c r="G31" s="9">
        <v>10</v>
      </c>
      <c r="H31" s="8">
        <f t="shared" si="5"/>
        <v>14053.800000000001</v>
      </c>
      <c r="J31" s="7">
        <f t="shared" si="6"/>
        <v>1.7042295020655629E-2</v>
      </c>
    </row>
    <row r="32" spans="1:27" x14ac:dyDescent="0.2">
      <c r="A32" s="13"/>
      <c r="B32" s="7">
        <v>0.5</v>
      </c>
      <c r="C32" s="1">
        <v>53462.6</v>
      </c>
      <c r="D32" s="1">
        <v>55732.2</v>
      </c>
      <c r="E32" s="1">
        <v>58915.4</v>
      </c>
      <c r="F32" s="9"/>
      <c r="G32" s="9">
        <v>10</v>
      </c>
      <c r="H32" s="8">
        <f t="shared" si="5"/>
        <v>56036.73333333333</v>
      </c>
      <c r="J32" s="7">
        <f t="shared" si="6"/>
        <v>6.8488432415763259E-2</v>
      </c>
    </row>
    <row r="33" spans="1:10" x14ac:dyDescent="0.2">
      <c r="A33" s="13"/>
      <c r="B33" s="7">
        <v>1</v>
      </c>
      <c r="C33" s="1">
        <v>32360.2</v>
      </c>
      <c r="D33" s="1">
        <v>31590.7</v>
      </c>
      <c r="E33" s="1">
        <v>32469.5</v>
      </c>
      <c r="F33" s="9"/>
      <c r="G33" s="9">
        <v>100</v>
      </c>
      <c r="H33" s="8">
        <f t="shared" si="5"/>
        <v>32140.133333333331</v>
      </c>
      <c r="J33" s="7">
        <f t="shared" si="6"/>
        <v>0.39205395970574519</v>
      </c>
    </row>
    <row r="34" spans="1:10" x14ac:dyDescent="0.2">
      <c r="A34" s="13"/>
      <c r="B34" s="7">
        <v>5</v>
      </c>
      <c r="C34" s="1">
        <v>327950</v>
      </c>
      <c r="D34" s="1">
        <v>358198</v>
      </c>
      <c r="E34" s="1">
        <v>346636</v>
      </c>
      <c r="F34" s="9"/>
      <c r="G34" s="9">
        <v>100</v>
      </c>
      <c r="H34" s="8">
        <f t="shared" si="5"/>
        <v>344261.33333333331</v>
      </c>
      <c r="J34" s="7">
        <f t="shared" si="6"/>
        <v>4.2168057967520376</v>
      </c>
    </row>
    <row r="35" spans="1:10" ht="13.5" thickBot="1" x14ac:dyDescent="0.25">
      <c r="A35" s="14"/>
      <c r="B35" s="15">
        <v>25</v>
      </c>
      <c r="C35" s="22">
        <v>338050</v>
      </c>
      <c r="D35" s="22">
        <v>360055</v>
      </c>
      <c r="E35" s="22">
        <v>351408</v>
      </c>
      <c r="F35" s="9"/>
      <c r="G35" s="9">
        <v>500</v>
      </c>
      <c r="H35" s="8">
        <f t="shared" si="5"/>
        <v>349837.66666666669</v>
      </c>
      <c r="J35" s="7">
        <f t="shared" si="6"/>
        <v>21.425692593291505</v>
      </c>
    </row>
    <row r="36" spans="1:10" x14ac:dyDescent="0.2">
      <c r="A36" s="11" t="s">
        <v>109</v>
      </c>
      <c r="B36" s="12">
        <v>0</v>
      </c>
      <c r="C36" s="17">
        <v>3397.62</v>
      </c>
      <c r="D36" s="17">
        <v>2897.47</v>
      </c>
      <c r="E36" s="17">
        <v>2817.59</v>
      </c>
      <c r="F36" s="9"/>
      <c r="G36" s="9">
        <v>10</v>
      </c>
      <c r="H36" s="8">
        <f t="shared" si="5"/>
        <v>3037.56</v>
      </c>
      <c r="J36" s="7">
        <f t="shared" si="6"/>
        <v>3.5429286920169939E-3</v>
      </c>
    </row>
    <row r="37" spans="1:10" x14ac:dyDescent="0.2">
      <c r="A37" s="13"/>
      <c r="B37" s="7">
        <v>0.1</v>
      </c>
      <c r="C37" s="1">
        <v>6198.89</v>
      </c>
      <c r="D37" s="1">
        <v>5713.55</v>
      </c>
      <c r="E37" s="1">
        <v>6963.53</v>
      </c>
      <c r="F37" s="9"/>
      <c r="G37" s="9">
        <v>10</v>
      </c>
      <c r="H37" s="8">
        <f t="shared" si="5"/>
        <v>6291.9900000000007</v>
      </c>
      <c r="J37" s="7">
        <f t="shared" si="6"/>
        <v>7.5309266623690774E-3</v>
      </c>
    </row>
    <row r="38" spans="1:10" x14ac:dyDescent="0.2">
      <c r="A38" s="13"/>
      <c r="B38" s="7">
        <v>0.25</v>
      </c>
      <c r="C38" s="1">
        <v>11155.3</v>
      </c>
      <c r="D38" s="1">
        <v>11110.1</v>
      </c>
      <c r="E38" s="1">
        <v>12741.6</v>
      </c>
      <c r="F38" s="9"/>
      <c r="G38" s="9">
        <v>10</v>
      </c>
      <c r="H38" s="8">
        <f t="shared" si="5"/>
        <v>11669</v>
      </c>
      <c r="J38" s="7">
        <f t="shared" si="6"/>
        <v>1.4119946849179933E-2</v>
      </c>
    </row>
    <row r="39" spans="1:10" x14ac:dyDescent="0.2">
      <c r="A39" s="13"/>
      <c r="B39" s="7">
        <v>0.5</v>
      </c>
      <c r="C39" s="1">
        <v>51346.400000000001</v>
      </c>
      <c r="D39" s="1">
        <v>48262</v>
      </c>
      <c r="E39" s="1">
        <v>55277.7</v>
      </c>
      <c r="F39" s="9"/>
      <c r="G39" s="9">
        <v>10</v>
      </c>
      <c r="H39" s="8">
        <f t="shared" si="5"/>
        <v>51628.69999999999</v>
      </c>
      <c r="J39" s="7">
        <f t="shared" si="6"/>
        <v>6.3086802026854086E-2</v>
      </c>
    </row>
    <row r="40" spans="1:10" x14ac:dyDescent="0.2">
      <c r="A40" s="13"/>
      <c r="B40" s="7">
        <v>1</v>
      </c>
      <c r="C40" s="1">
        <v>38575</v>
      </c>
      <c r="D40" s="1">
        <v>34994.699999999997</v>
      </c>
      <c r="E40" s="1">
        <v>37233.800000000003</v>
      </c>
      <c r="F40" s="9"/>
      <c r="G40" s="9">
        <v>100</v>
      </c>
      <c r="H40" s="8">
        <f t="shared" si="5"/>
        <v>36934.5</v>
      </c>
      <c r="J40" s="7">
        <f t="shared" si="6"/>
        <v>0.45080441534863919</v>
      </c>
    </row>
    <row r="41" spans="1:10" x14ac:dyDescent="0.2">
      <c r="A41" s="13"/>
      <c r="B41" s="7">
        <v>5</v>
      </c>
      <c r="C41" s="1">
        <v>359963</v>
      </c>
      <c r="D41" s="1">
        <v>349676</v>
      </c>
      <c r="E41" s="1">
        <v>403427</v>
      </c>
      <c r="F41" s="9"/>
      <c r="G41" s="9">
        <v>100</v>
      </c>
      <c r="H41" s="8">
        <f t="shared" si="5"/>
        <v>371022</v>
      </c>
      <c r="J41" s="7">
        <f t="shared" si="6"/>
        <v>4.5447326052928121</v>
      </c>
    </row>
    <row r="42" spans="1:10" ht="13.5" thickBot="1" x14ac:dyDescent="0.25">
      <c r="A42" s="14"/>
      <c r="B42" s="15">
        <v>25</v>
      </c>
      <c r="C42" s="22">
        <v>359356</v>
      </c>
      <c r="D42" s="22">
        <v>355927</v>
      </c>
      <c r="E42" s="22">
        <v>396787</v>
      </c>
      <c r="F42" s="9"/>
      <c r="G42" s="9">
        <v>500</v>
      </c>
      <c r="H42" s="8">
        <f t="shared" si="5"/>
        <v>370690</v>
      </c>
      <c r="J42" s="7">
        <f t="shared" si="6"/>
        <v>22.70332128726308</v>
      </c>
    </row>
    <row r="43" spans="1:10" x14ac:dyDescent="0.2">
      <c r="C43" s="9"/>
      <c r="D43" s="9"/>
      <c r="E43" s="9"/>
      <c r="F43" s="9"/>
      <c r="G43" s="9"/>
    </row>
    <row r="45" spans="1:10" ht="13.5" thickBot="1" x14ac:dyDescent="0.25">
      <c r="B45" s="7" t="s">
        <v>113</v>
      </c>
    </row>
    <row r="46" spans="1:10" x14ac:dyDescent="0.2">
      <c r="A46" s="11" t="s">
        <v>106</v>
      </c>
      <c r="B46" s="12">
        <v>0</v>
      </c>
      <c r="C46" s="17">
        <v>2948.74</v>
      </c>
      <c r="D46" s="17">
        <v>2604.17</v>
      </c>
      <c r="E46" s="17">
        <v>2885.32</v>
      </c>
      <c r="F46" s="9"/>
      <c r="G46" s="9">
        <v>10</v>
      </c>
      <c r="H46" s="8">
        <f t="shared" ref="H46:H59" si="7">AVERAGE(C46:E46)</f>
        <v>2812.7433333333333</v>
      </c>
      <c r="J46" s="7">
        <f>((H46-$O$13)/$O$12)*G46/1000</f>
        <v>3.2674370051876613E-3</v>
      </c>
    </row>
    <row r="47" spans="1:10" x14ac:dyDescent="0.2">
      <c r="A47" s="13"/>
      <c r="B47" s="7">
        <v>0.1</v>
      </c>
      <c r="C47" s="1">
        <v>3335.03</v>
      </c>
      <c r="D47" s="1">
        <v>4478.45</v>
      </c>
      <c r="E47" s="1">
        <v>3367.02</v>
      </c>
      <c r="F47" s="9"/>
      <c r="G47" s="9">
        <v>10</v>
      </c>
      <c r="H47" s="8">
        <f t="shared" si="7"/>
        <v>3726.8333333333335</v>
      </c>
      <c r="J47" s="7">
        <f t="shared" ref="J47:J59" si="8">((H47-$O$13)/$O$12)*G47/1000</f>
        <v>4.3875683537553476E-3</v>
      </c>
    </row>
    <row r="48" spans="1:10" x14ac:dyDescent="0.2">
      <c r="A48" s="13"/>
      <c r="B48" s="7">
        <v>0.25</v>
      </c>
      <c r="C48" s="1">
        <v>4098.6000000000004</v>
      </c>
      <c r="D48" s="1">
        <v>4699.47</v>
      </c>
      <c r="E48" s="1">
        <v>3988.12</v>
      </c>
      <c r="F48" s="9"/>
      <c r="G48" s="9">
        <v>10</v>
      </c>
      <c r="H48" s="8">
        <f t="shared" si="7"/>
        <v>4262.0633333333326</v>
      </c>
      <c r="J48" s="7">
        <f t="shared" si="8"/>
        <v>5.0434423942698281E-3</v>
      </c>
    </row>
    <row r="49" spans="1:10" x14ac:dyDescent="0.2">
      <c r="A49" s="13"/>
      <c r="B49" s="7">
        <v>0.5</v>
      </c>
      <c r="C49" s="1">
        <v>6546.22</v>
      </c>
      <c r="D49" s="1">
        <v>6330.02</v>
      </c>
      <c r="E49" s="1">
        <v>6294.08</v>
      </c>
      <c r="F49" s="9"/>
      <c r="G49" s="9">
        <v>10</v>
      </c>
      <c r="H49" s="8">
        <f t="shared" si="7"/>
        <v>6390.1066666666666</v>
      </c>
      <c r="J49" s="7">
        <f t="shared" si="8"/>
        <v>7.6511594120439435E-3</v>
      </c>
    </row>
    <row r="50" spans="1:10" x14ac:dyDescent="0.2">
      <c r="A50" s="13"/>
      <c r="B50" s="7">
        <v>1</v>
      </c>
      <c r="C50" s="1">
        <v>7324.87</v>
      </c>
      <c r="D50" s="1">
        <v>7975.94</v>
      </c>
      <c r="E50" s="1">
        <v>7612.53</v>
      </c>
      <c r="F50" s="9"/>
      <c r="G50" s="9">
        <v>100</v>
      </c>
      <c r="H50" s="8">
        <f t="shared" si="7"/>
        <v>7637.78</v>
      </c>
      <c r="J50" s="7">
        <f t="shared" si="8"/>
        <v>9.1800657707598335E-2</v>
      </c>
    </row>
    <row r="51" spans="1:10" x14ac:dyDescent="0.2">
      <c r="A51" s="13"/>
      <c r="B51" s="7">
        <v>5</v>
      </c>
      <c r="C51" s="1">
        <v>268661</v>
      </c>
      <c r="D51" s="1">
        <v>285705</v>
      </c>
      <c r="E51" s="1">
        <v>266002</v>
      </c>
      <c r="F51" s="9"/>
      <c r="G51" s="9">
        <v>100</v>
      </c>
      <c r="H51" s="8">
        <f t="shared" si="7"/>
        <v>273456</v>
      </c>
      <c r="J51" s="7">
        <f t="shared" si="8"/>
        <v>3.3491530107851064</v>
      </c>
    </row>
    <row r="52" spans="1:10" ht="13.5" thickBot="1" x14ac:dyDescent="0.25">
      <c r="A52" s="14"/>
      <c r="B52" s="15">
        <v>25</v>
      </c>
      <c r="C52" s="22">
        <v>357805</v>
      </c>
      <c r="D52" s="22">
        <v>357088</v>
      </c>
      <c r="E52" s="22">
        <v>359999</v>
      </c>
      <c r="F52" s="9"/>
      <c r="G52" s="9">
        <v>500</v>
      </c>
      <c r="H52" s="8">
        <f t="shared" si="7"/>
        <v>358297.33333333331</v>
      </c>
      <c r="J52" s="7">
        <f t="shared" si="8"/>
        <v>21.944018897690764</v>
      </c>
    </row>
    <row r="53" spans="1:10" x14ac:dyDescent="0.2">
      <c r="A53" s="11" t="s">
        <v>109</v>
      </c>
      <c r="B53" s="12">
        <v>0</v>
      </c>
      <c r="C53" s="17">
        <v>3040.34</v>
      </c>
      <c r="D53" s="17">
        <v>3087.62</v>
      </c>
      <c r="E53" s="17">
        <v>3341.12</v>
      </c>
      <c r="F53" s="9"/>
      <c r="G53" s="9">
        <v>10</v>
      </c>
      <c r="H53" s="8">
        <f t="shared" si="7"/>
        <v>3156.36</v>
      </c>
      <c r="J53" s="7">
        <f t="shared" si="8"/>
        <v>3.6885069219613556E-3</v>
      </c>
    </row>
    <row r="54" spans="1:10" x14ac:dyDescent="0.2">
      <c r="A54" s="13"/>
      <c r="B54" s="7">
        <v>0.1</v>
      </c>
      <c r="C54" s="1">
        <v>3739.14</v>
      </c>
      <c r="D54" s="1">
        <v>3804.91</v>
      </c>
      <c r="E54" s="1">
        <v>4857.7</v>
      </c>
      <c r="F54" s="9"/>
      <c r="G54" s="9">
        <v>10</v>
      </c>
      <c r="H54" s="8">
        <f t="shared" si="7"/>
        <v>4133.916666666667</v>
      </c>
      <c r="J54" s="7">
        <f t="shared" si="8"/>
        <v>4.8864107031368047E-3</v>
      </c>
    </row>
    <row r="55" spans="1:10" x14ac:dyDescent="0.2">
      <c r="A55" s="13"/>
      <c r="B55" s="7">
        <v>0.25</v>
      </c>
      <c r="C55" s="1">
        <v>4622.92</v>
      </c>
      <c r="D55" s="1">
        <v>4705.16</v>
      </c>
      <c r="E55" s="1">
        <v>7069.31</v>
      </c>
      <c r="F55" s="9"/>
      <c r="G55" s="9">
        <v>10</v>
      </c>
      <c r="H55" s="8">
        <f t="shared" si="7"/>
        <v>5465.7966666666662</v>
      </c>
      <c r="J55" s="7">
        <f t="shared" si="8"/>
        <v>6.5185044144019186E-3</v>
      </c>
    </row>
    <row r="56" spans="1:10" x14ac:dyDescent="0.2">
      <c r="A56" s="13"/>
      <c r="B56" s="7">
        <v>0.5</v>
      </c>
      <c r="C56" s="1">
        <v>7043.18</v>
      </c>
      <c r="D56" s="1">
        <v>6680.75</v>
      </c>
      <c r="E56" s="1">
        <v>12011.4</v>
      </c>
      <c r="F56" s="9"/>
      <c r="G56" s="9">
        <v>10</v>
      </c>
      <c r="H56" s="8">
        <f t="shared" si="7"/>
        <v>8578.4433333333345</v>
      </c>
      <c r="J56" s="7">
        <f t="shared" si="8"/>
        <v>1.0332760240795436E-2</v>
      </c>
    </row>
    <row r="57" spans="1:10" x14ac:dyDescent="0.2">
      <c r="A57" s="13"/>
      <c r="B57" s="7">
        <v>1</v>
      </c>
      <c r="C57" s="1">
        <v>8173</v>
      </c>
      <c r="D57" s="1">
        <v>7783.31</v>
      </c>
      <c r="E57" s="1">
        <v>9395.2099999999991</v>
      </c>
      <c r="F57" s="9"/>
      <c r="G57" s="9">
        <v>100</v>
      </c>
      <c r="H57" s="8">
        <f t="shared" si="7"/>
        <v>8450.5066666666662</v>
      </c>
      <c r="J57" s="7">
        <f t="shared" si="8"/>
        <v>0.1017598588491736</v>
      </c>
    </row>
    <row r="58" spans="1:10" x14ac:dyDescent="0.2">
      <c r="A58" s="13"/>
      <c r="B58" s="7">
        <v>5</v>
      </c>
      <c r="C58" s="1">
        <v>289501</v>
      </c>
      <c r="D58" s="1">
        <v>262747</v>
      </c>
      <c r="E58" s="1">
        <v>284797</v>
      </c>
      <c r="F58" s="9"/>
      <c r="G58" s="9">
        <v>100</v>
      </c>
      <c r="H58" s="8">
        <f t="shared" si="7"/>
        <v>279015</v>
      </c>
      <c r="J58" s="7">
        <f t="shared" si="8"/>
        <v>3.4172733289888688</v>
      </c>
    </row>
    <row r="59" spans="1:10" ht="13.5" thickBot="1" x14ac:dyDescent="0.25">
      <c r="A59" s="14"/>
      <c r="B59" s="15">
        <v>25</v>
      </c>
      <c r="C59" s="22">
        <v>348088</v>
      </c>
      <c r="D59" s="22">
        <v>338582</v>
      </c>
      <c r="E59" s="22">
        <v>362781</v>
      </c>
      <c r="F59" s="9"/>
      <c r="G59" s="9">
        <v>500</v>
      </c>
      <c r="H59" s="8">
        <f t="shared" si="7"/>
        <v>349817</v>
      </c>
      <c r="J59" s="7">
        <f t="shared" si="8"/>
        <v>21.424426340449674</v>
      </c>
    </row>
    <row r="60" spans="1:10" x14ac:dyDescent="0.2">
      <c r="C60" s="9"/>
      <c r="D60" s="9"/>
      <c r="E60" s="9"/>
      <c r="F60" s="9"/>
      <c r="G60" s="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333B4-0FE1-417F-BF7E-9E5095BA0CAC}">
  <dimension ref="A1:AA60"/>
  <sheetViews>
    <sheetView topLeftCell="A4" workbookViewId="0">
      <selection activeCell="L20" sqref="L20"/>
    </sheetView>
  </sheetViews>
  <sheetFormatPr defaultRowHeight="12.75" x14ac:dyDescent="0.2"/>
  <cols>
    <col min="1" max="5" width="9.140625" style="7"/>
    <col min="6" max="6" width="2.28515625" style="7" customWidth="1"/>
    <col min="7" max="7" width="9.140625" style="7"/>
    <col min="8" max="8" width="9.140625" style="8"/>
    <col min="9" max="9" width="1.7109375" style="7" customWidth="1"/>
    <col min="10" max="14" width="9.140625" style="7"/>
    <col min="15" max="15" width="12" style="7" bestFit="1" customWidth="1"/>
    <col min="16" max="16384" width="9.140625" style="7"/>
  </cols>
  <sheetData>
    <row r="1" spans="1:17" x14ac:dyDescent="0.2">
      <c r="B1" s="7" t="s">
        <v>99</v>
      </c>
      <c r="G1" s="7" t="s">
        <v>100</v>
      </c>
      <c r="H1" s="8" t="s">
        <v>101</v>
      </c>
      <c r="J1" s="7" t="s">
        <v>102</v>
      </c>
      <c r="L1" s="7" t="s">
        <v>103</v>
      </c>
      <c r="P1" s="7" t="s">
        <v>104</v>
      </c>
    </row>
    <row r="2" spans="1:17" x14ac:dyDescent="0.2">
      <c r="B2" s="7">
        <v>0</v>
      </c>
      <c r="C2" s="1">
        <v>8927.6299999999992</v>
      </c>
      <c r="D2" s="1">
        <v>9461.26</v>
      </c>
      <c r="E2" s="1">
        <v>11228</v>
      </c>
      <c r="F2" s="9"/>
      <c r="G2" s="9">
        <v>10</v>
      </c>
      <c r="H2" s="8">
        <f>AVERAGE(C2:E2)</f>
        <v>9872.2966666666671</v>
      </c>
      <c r="J2" s="7">
        <f>((H2-$O$13)/$O$12)*G2/1000</f>
        <v>1.1918255847481277E-2</v>
      </c>
      <c r="L2" s="10">
        <v>0</v>
      </c>
      <c r="M2" s="1">
        <v>2917.57</v>
      </c>
      <c r="N2" s="1">
        <v>2336.87</v>
      </c>
      <c r="P2" s="10">
        <f t="shared" ref="P2:P10" si="0">AVERAGE(M2:N2)</f>
        <v>2627.2200000000003</v>
      </c>
      <c r="Q2" s="10"/>
    </row>
    <row r="3" spans="1:17" x14ac:dyDescent="0.2">
      <c r="B3" s="7">
        <v>0.1</v>
      </c>
      <c r="C3" s="1">
        <v>75565.8</v>
      </c>
      <c r="D3" s="1">
        <v>86160.3</v>
      </c>
      <c r="E3" s="1">
        <v>82151</v>
      </c>
      <c r="F3" s="9"/>
      <c r="G3" s="9">
        <v>10</v>
      </c>
      <c r="H3" s="8">
        <f t="shared" ref="H3:H8" si="1">AVERAGE(C3:E3)</f>
        <v>81292.366666666669</v>
      </c>
      <c r="J3" s="7">
        <f t="shared" ref="J3:J8" si="2">((H3-$O$13)/$O$12)*G3/1000</f>
        <v>9.9436836429151076E-2</v>
      </c>
      <c r="L3" s="7">
        <v>4.0000000000000001E-3</v>
      </c>
      <c r="M3" s="1">
        <v>2709.09</v>
      </c>
      <c r="N3" s="1">
        <v>2492.64</v>
      </c>
      <c r="P3" s="7">
        <f t="shared" si="0"/>
        <v>2600.8649999999998</v>
      </c>
    </row>
    <row r="4" spans="1:17" x14ac:dyDescent="0.2">
      <c r="B4" s="7">
        <v>0.25</v>
      </c>
      <c r="C4" s="1">
        <v>197560</v>
      </c>
      <c r="D4" s="1">
        <v>213929</v>
      </c>
      <c r="E4" s="1">
        <v>194232</v>
      </c>
      <c r="F4" s="9"/>
      <c r="G4" s="9">
        <v>10</v>
      </c>
      <c r="H4" s="8">
        <f t="shared" si="1"/>
        <v>201907</v>
      </c>
      <c r="J4" s="7">
        <f t="shared" si="2"/>
        <v>0.24723872890435997</v>
      </c>
      <c r="L4" s="7">
        <v>0.02</v>
      </c>
      <c r="M4" s="1">
        <v>3387.9</v>
      </c>
      <c r="N4" s="1">
        <v>2702.8</v>
      </c>
      <c r="P4" s="7">
        <f t="shared" si="0"/>
        <v>3045.3500000000004</v>
      </c>
    </row>
    <row r="5" spans="1:17" x14ac:dyDescent="0.2">
      <c r="B5" s="7">
        <v>0.5</v>
      </c>
      <c r="C5" s="1">
        <v>496671</v>
      </c>
      <c r="D5" s="1">
        <v>522653</v>
      </c>
      <c r="E5" s="1">
        <v>485564</v>
      </c>
      <c r="F5" s="9"/>
      <c r="G5" s="9">
        <v>10</v>
      </c>
      <c r="H5" s="8">
        <f t="shared" si="1"/>
        <v>501629.33333333331</v>
      </c>
      <c r="J5" s="7">
        <f t="shared" si="2"/>
        <v>0.61452026730049181</v>
      </c>
      <c r="L5" s="7">
        <v>0.1</v>
      </c>
      <c r="M5" s="1">
        <v>3527.86</v>
      </c>
      <c r="N5" s="1">
        <v>3339.82</v>
      </c>
      <c r="P5" s="7">
        <f t="shared" si="0"/>
        <v>3433.84</v>
      </c>
    </row>
    <row r="6" spans="1:17" x14ac:dyDescent="0.2">
      <c r="B6" s="7">
        <v>1</v>
      </c>
      <c r="C6" s="1">
        <v>75194</v>
      </c>
      <c r="D6" s="1">
        <v>79100.7</v>
      </c>
      <c r="E6" s="1">
        <v>75141.7</v>
      </c>
      <c r="F6" s="9"/>
      <c r="G6" s="9">
        <v>100</v>
      </c>
      <c r="H6" s="8">
        <f t="shared" si="1"/>
        <v>76478.8</v>
      </c>
      <c r="J6" s="7">
        <f t="shared" si="2"/>
        <v>0.93538263070123207</v>
      </c>
      <c r="L6" s="7">
        <v>0.5</v>
      </c>
      <c r="M6" s="1">
        <v>6232.95</v>
      </c>
      <c r="N6" s="1">
        <v>6240.63</v>
      </c>
      <c r="P6" s="7">
        <f t="shared" si="0"/>
        <v>6236.79</v>
      </c>
    </row>
    <row r="7" spans="1:17" x14ac:dyDescent="0.2">
      <c r="B7" s="7">
        <v>5</v>
      </c>
      <c r="C7" s="1">
        <v>415515</v>
      </c>
      <c r="D7" s="1">
        <v>428656</v>
      </c>
      <c r="E7" s="1">
        <v>436083</v>
      </c>
      <c r="F7" s="9"/>
      <c r="G7" s="9">
        <v>100</v>
      </c>
      <c r="H7" s="8">
        <f t="shared" si="1"/>
        <v>426751.33333333331</v>
      </c>
      <c r="J7" s="7">
        <f t="shared" si="2"/>
        <v>5.2276431863236157</v>
      </c>
      <c r="L7" s="7">
        <v>2</v>
      </c>
      <c r="M7" s="1">
        <v>14876.4</v>
      </c>
      <c r="N7" s="1">
        <v>15597.7</v>
      </c>
      <c r="P7" s="7">
        <f t="shared" si="0"/>
        <v>15237.05</v>
      </c>
    </row>
    <row r="8" spans="1:17" x14ac:dyDescent="0.2">
      <c r="B8" s="7">
        <v>25</v>
      </c>
      <c r="C8" s="1">
        <v>345374</v>
      </c>
      <c r="D8" s="1">
        <v>354779</v>
      </c>
      <c r="E8" s="1">
        <v>351715</v>
      </c>
      <c r="F8" s="9"/>
      <c r="G8" s="9">
        <v>500</v>
      </c>
      <c r="H8" s="8">
        <f t="shared" si="1"/>
        <v>350622.66666666669</v>
      </c>
      <c r="J8" s="7">
        <f t="shared" si="2"/>
        <v>21.473789777848037</v>
      </c>
      <c r="L8" s="7">
        <v>10</v>
      </c>
      <c r="M8" s="1">
        <v>72248.5</v>
      </c>
      <c r="N8" s="1">
        <v>72672.2</v>
      </c>
      <c r="P8" s="7">
        <f t="shared" si="0"/>
        <v>72460.350000000006</v>
      </c>
    </row>
    <row r="9" spans="1:17" x14ac:dyDescent="0.2">
      <c r="L9" s="7">
        <v>25</v>
      </c>
      <c r="M9" s="1">
        <v>195683</v>
      </c>
      <c r="N9" s="1">
        <v>198720</v>
      </c>
      <c r="P9" s="7">
        <f t="shared" si="0"/>
        <v>197201.5</v>
      </c>
    </row>
    <row r="10" spans="1:17" x14ac:dyDescent="0.2">
      <c r="C10" s="9"/>
      <c r="D10" s="9"/>
      <c r="E10" s="9"/>
      <c r="F10" s="9"/>
      <c r="G10" s="9"/>
      <c r="L10" s="7">
        <v>50</v>
      </c>
      <c r="M10" s="1">
        <v>422916</v>
      </c>
      <c r="N10" s="1">
        <v>404154</v>
      </c>
      <c r="P10" s="7">
        <f t="shared" si="0"/>
        <v>413535</v>
      </c>
    </row>
    <row r="11" spans="1:17" ht="13.5" thickBot="1" x14ac:dyDescent="0.25">
      <c r="B11" s="7" t="s">
        <v>105</v>
      </c>
    </row>
    <row r="12" spans="1:17" x14ac:dyDescent="0.2">
      <c r="A12" s="11" t="s">
        <v>106</v>
      </c>
      <c r="B12" s="12">
        <v>0</v>
      </c>
      <c r="C12" s="1">
        <v>7742.24</v>
      </c>
      <c r="D12" s="1">
        <v>8277.02</v>
      </c>
      <c r="E12" s="1">
        <v>8886.32</v>
      </c>
      <c r="F12" s="9"/>
      <c r="G12" s="9">
        <v>10</v>
      </c>
      <c r="H12" s="8">
        <f>AVERAGE(C12:E12)</f>
        <v>8301.86</v>
      </c>
      <c r="J12" s="7">
        <f>((H12-$O$13)/$O$12)*G12/1000</f>
        <v>9.9938333712771017E-3</v>
      </c>
      <c r="N12" s="7" t="s">
        <v>107</v>
      </c>
      <c r="O12" s="7">
        <f>SLOPE(P2:P10,L2:L10)</f>
        <v>8160.5608232360282</v>
      </c>
    </row>
    <row r="13" spans="1:17" x14ac:dyDescent="0.2">
      <c r="A13" s="13"/>
      <c r="B13" s="7">
        <v>0.1</v>
      </c>
      <c r="C13" s="1">
        <v>58927.3</v>
      </c>
      <c r="D13" s="1">
        <v>60632.7</v>
      </c>
      <c r="E13" s="1">
        <v>58740.6</v>
      </c>
      <c r="F13" s="9"/>
      <c r="G13" s="9">
        <v>10</v>
      </c>
      <c r="H13" s="8">
        <f t="shared" ref="H13:H25" si="3">AVERAGE(C13:E13)</f>
        <v>59433.533333333333</v>
      </c>
      <c r="J13" s="7">
        <f t="shared" ref="J13:J25" si="4">((H13-$O$13)/$O$12)*G13/1000</f>
        <v>7.2650891434913129E-2</v>
      </c>
      <c r="N13" s="7" t="s">
        <v>108</v>
      </c>
      <c r="O13" s="7">
        <f>INTERCEPT(P2:P10,L2:L10)</f>
        <v>146.33149164072529</v>
      </c>
    </row>
    <row r="14" spans="1:17" x14ac:dyDescent="0.2">
      <c r="A14" s="13"/>
      <c r="B14" s="7">
        <v>0.25</v>
      </c>
      <c r="C14" s="1">
        <v>141629</v>
      </c>
      <c r="D14" s="1">
        <v>140581</v>
      </c>
      <c r="E14" s="1">
        <v>131039</v>
      </c>
      <c r="F14" s="9"/>
      <c r="G14" s="9">
        <v>10</v>
      </c>
      <c r="H14" s="8">
        <f t="shared" si="3"/>
        <v>137749.66666666666</v>
      </c>
      <c r="J14" s="7">
        <f t="shared" si="4"/>
        <v>0.16861994923586637</v>
      </c>
    </row>
    <row r="15" spans="1:17" x14ac:dyDescent="0.2">
      <c r="A15" s="13"/>
      <c r="B15" s="7">
        <v>0.5</v>
      </c>
      <c r="C15" s="1">
        <v>325603</v>
      </c>
      <c r="D15" s="1">
        <v>344540</v>
      </c>
      <c r="E15" s="1">
        <v>394658</v>
      </c>
      <c r="F15" s="9"/>
      <c r="G15" s="9">
        <v>10</v>
      </c>
      <c r="H15" s="8">
        <f t="shared" si="3"/>
        <v>354933.66666666669</v>
      </c>
      <c r="J15" s="7">
        <f t="shared" si="4"/>
        <v>0.43475852071933563</v>
      </c>
    </row>
    <row r="16" spans="1:17" x14ac:dyDescent="0.2">
      <c r="A16" s="13"/>
      <c r="B16" s="7">
        <v>1</v>
      </c>
      <c r="C16" s="1">
        <v>51689.3</v>
      </c>
      <c r="D16" s="1">
        <v>53488.2</v>
      </c>
      <c r="E16" s="1">
        <v>50678.1</v>
      </c>
      <c r="F16" s="9"/>
      <c r="G16" s="9">
        <v>100</v>
      </c>
      <c r="H16" s="8">
        <f t="shared" si="3"/>
        <v>51951.866666666669</v>
      </c>
      <c r="J16" s="7">
        <f t="shared" si="4"/>
        <v>0.63482812391419352</v>
      </c>
    </row>
    <row r="17" spans="1:27" x14ac:dyDescent="0.2">
      <c r="A17" s="13"/>
      <c r="B17" s="7">
        <v>5</v>
      </c>
      <c r="C17" s="1">
        <v>361129</v>
      </c>
      <c r="D17" s="1">
        <v>373629</v>
      </c>
      <c r="E17" s="1">
        <v>372603</v>
      </c>
      <c r="F17" s="9"/>
      <c r="G17" s="9">
        <v>100</v>
      </c>
      <c r="H17" s="8">
        <f t="shared" si="3"/>
        <v>369120.33333333331</v>
      </c>
      <c r="J17" s="7">
        <f t="shared" si="4"/>
        <v>4.5214294683165894</v>
      </c>
    </row>
    <row r="18" spans="1:27" ht="13.5" thickBot="1" x14ac:dyDescent="0.25">
      <c r="A18" s="14"/>
      <c r="B18" s="15">
        <v>25</v>
      </c>
      <c r="C18" s="1">
        <v>286655</v>
      </c>
      <c r="D18" s="1">
        <v>271320</v>
      </c>
      <c r="E18" s="1">
        <v>288075</v>
      </c>
      <c r="F18" s="9"/>
      <c r="G18" s="9">
        <v>500</v>
      </c>
      <c r="H18" s="8">
        <f t="shared" si="3"/>
        <v>282016.66666666669</v>
      </c>
      <c r="J18" s="7">
        <f t="shared" si="4"/>
        <v>17.270279658503405</v>
      </c>
    </row>
    <row r="19" spans="1:27" x14ac:dyDescent="0.2">
      <c r="A19" s="11" t="s">
        <v>109</v>
      </c>
      <c r="B19" s="12">
        <v>0</v>
      </c>
      <c r="C19" s="1">
        <v>7994.24</v>
      </c>
      <c r="D19" s="1">
        <v>7464.29</v>
      </c>
      <c r="E19" s="1">
        <v>7612.24</v>
      </c>
      <c r="F19" s="9"/>
      <c r="G19" s="9">
        <v>10</v>
      </c>
      <c r="H19" s="8">
        <f t="shared" si="3"/>
        <v>7690.2566666666653</v>
      </c>
      <c r="J19" s="7">
        <f t="shared" si="4"/>
        <v>9.2443709916917634E-3</v>
      </c>
    </row>
    <row r="20" spans="1:27" x14ac:dyDescent="0.2">
      <c r="A20" s="13"/>
      <c r="B20" s="7">
        <v>0.1</v>
      </c>
      <c r="C20" s="1">
        <v>30032.9</v>
      </c>
      <c r="D20" s="1">
        <v>31037.3</v>
      </c>
      <c r="E20" s="1">
        <v>34051.9</v>
      </c>
      <c r="F20" s="9"/>
      <c r="G20" s="9">
        <v>10</v>
      </c>
      <c r="H20" s="8">
        <f t="shared" si="3"/>
        <v>31707.366666666669</v>
      </c>
      <c r="J20" s="7">
        <f t="shared" si="4"/>
        <v>3.8675081111043758E-2</v>
      </c>
      <c r="M20" s="7" t="s">
        <v>110</v>
      </c>
    </row>
    <row r="21" spans="1:27" x14ac:dyDescent="0.2">
      <c r="A21" s="13"/>
      <c r="B21" s="7">
        <v>0.25</v>
      </c>
      <c r="C21" s="1">
        <v>69720</v>
      </c>
      <c r="D21" s="1">
        <v>78110.600000000006</v>
      </c>
      <c r="E21" s="1">
        <v>69187.8</v>
      </c>
      <c r="F21" s="9"/>
      <c r="G21" s="9">
        <v>10</v>
      </c>
      <c r="H21" s="8">
        <f t="shared" si="3"/>
        <v>72339.466666666674</v>
      </c>
      <c r="J21" s="7">
        <f t="shared" si="4"/>
        <v>8.8465899266955209E-2</v>
      </c>
    </row>
    <row r="22" spans="1:27" x14ac:dyDescent="0.2">
      <c r="A22" s="13"/>
      <c r="B22" s="7">
        <v>0.5</v>
      </c>
      <c r="C22" s="1">
        <v>173446</v>
      </c>
      <c r="D22" s="1">
        <v>171264</v>
      </c>
      <c r="E22" s="1">
        <v>208043</v>
      </c>
      <c r="F22" s="9"/>
      <c r="G22" s="9">
        <v>10</v>
      </c>
      <c r="H22" s="8">
        <f t="shared" si="3"/>
        <v>184251</v>
      </c>
      <c r="J22" s="7">
        <f t="shared" si="4"/>
        <v>0.22560296099276367</v>
      </c>
    </row>
    <row r="23" spans="1:27" x14ac:dyDescent="0.2">
      <c r="A23" s="13"/>
      <c r="B23" s="7">
        <v>1</v>
      </c>
      <c r="C23" s="1">
        <v>38092.9</v>
      </c>
      <c r="D23" s="1">
        <v>33004.400000000001</v>
      </c>
      <c r="E23" s="1">
        <v>37462.1</v>
      </c>
      <c r="F23" s="9"/>
      <c r="G23" s="9">
        <v>100</v>
      </c>
      <c r="H23" s="8">
        <f t="shared" si="3"/>
        <v>36186.466666666667</v>
      </c>
      <c r="J23" s="7">
        <f t="shared" si="4"/>
        <v>0.44163797017978002</v>
      </c>
      <c r="AA23" s="7" t="s">
        <v>111</v>
      </c>
    </row>
    <row r="24" spans="1:27" x14ac:dyDescent="0.2">
      <c r="A24" s="13"/>
      <c r="B24" s="7">
        <v>5</v>
      </c>
      <c r="C24" s="1">
        <v>349268</v>
      </c>
      <c r="D24" s="1">
        <v>350697</v>
      </c>
      <c r="E24" s="1">
        <v>381043</v>
      </c>
      <c r="F24" s="9"/>
      <c r="G24" s="9">
        <v>100</v>
      </c>
      <c r="H24" s="8">
        <f t="shared" si="3"/>
        <v>360336</v>
      </c>
      <c r="J24" s="7">
        <f t="shared" si="4"/>
        <v>4.4137857227014443</v>
      </c>
    </row>
    <row r="25" spans="1:27" ht="13.5" thickBot="1" x14ac:dyDescent="0.25">
      <c r="A25" s="14"/>
      <c r="B25" s="15">
        <v>25</v>
      </c>
      <c r="C25" s="1">
        <v>299577</v>
      </c>
      <c r="D25" s="1">
        <v>319689</v>
      </c>
      <c r="E25" s="1">
        <v>315832</v>
      </c>
      <c r="F25" s="9"/>
      <c r="G25" s="9">
        <v>500</v>
      </c>
      <c r="H25" s="8">
        <f t="shared" si="3"/>
        <v>311699.33333333331</v>
      </c>
      <c r="J25" s="7">
        <f t="shared" si="4"/>
        <v>19.088945514295418</v>
      </c>
    </row>
    <row r="26" spans="1:27" x14ac:dyDescent="0.2">
      <c r="C26" s="9"/>
      <c r="D26" s="9"/>
      <c r="E26" s="9"/>
      <c r="F26" s="9"/>
      <c r="G26" s="9"/>
    </row>
    <row r="28" spans="1:27" ht="13.5" thickBot="1" x14ac:dyDescent="0.25">
      <c r="B28" s="7" t="s">
        <v>112</v>
      </c>
    </row>
    <row r="29" spans="1:27" x14ac:dyDescent="0.2">
      <c r="A29" s="11" t="s">
        <v>106</v>
      </c>
      <c r="B29" s="12">
        <v>0</v>
      </c>
      <c r="C29" s="1">
        <v>8303.24</v>
      </c>
      <c r="D29" s="1">
        <v>8195.61</v>
      </c>
      <c r="E29" s="1">
        <v>8595.15</v>
      </c>
      <c r="F29" s="9"/>
      <c r="G29" s="9">
        <v>10</v>
      </c>
      <c r="H29" s="8">
        <f t="shared" ref="H29:H42" si="5">AVERAGE(C29:E29)</f>
        <v>8364.6666666666661</v>
      </c>
      <c r="J29" s="7">
        <f>((H29-$O$13)/$O$12)*G29/1000</f>
        <v>1.0070797035940727E-2</v>
      </c>
    </row>
    <row r="30" spans="1:27" x14ac:dyDescent="0.2">
      <c r="A30" s="13"/>
      <c r="B30" s="7">
        <v>0.1</v>
      </c>
      <c r="C30" s="1">
        <v>31800.3</v>
      </c>
      <c r="D30" s="1">
        <v>26967</v>
      </c>
      <c r="E30" s="1">
        <v>27480.2</v>
      </c>
      <c r="F30" s="9"/>
      <c r="G30" s="9">
        <v>10</v>
      </c>
      <c r="H30" s="8">
        <f t="shared" si="5"/>
        <v>28749.166666666668</v>
      </c>
      <c r="J30" s="7">
        <f t="shared" ref="J30:J42" si="6">((H30-$O$13)/$O$12)*G30/1000</f>
        <v>3.5050085152951091E-2</v>
      </c>
    </row>
    <row r="31" spans="1:27" x14ac:dyDescent="0.2">
      <c r="A31" s="13"/>
      <c r="B31" s="7">
        <v>0.25</v>
      </c>
      <c r="C31" s="1">
        <v>59700</v>
      </c>
      <c r="D31" s="1">
        <v>51861.7</v>
      </c>
      <c r="E31" s="1">
        <v>46887.7</v>
      </c>
      <c r="F31" s="9"/>
      <c r="G31" s="9">
        <v>10</v>
      </c>
      <c r="H31" s="8">
        <f t="shared" si="5"/>
        <v>52816.466666666667</v>
      </c>
      <c r="J31" s="7">
        <f t="shared" si="6"/>
        <v>6.454229839823665E-2</v>
      </c>
    </row>
    <row r="32" spans="1:27" x14ac:dyDescent="0.2">
      <c r="A32" s="13"/>
      <c r="B32" s="7">
        <v>0.5</v>
      </c>
      <c r="C32" s="1">
        <v>101906</v>
      </c>
      <c r="D32" s="1">
        <v>104293</v>
      </c>
      <c r="E32" s="1">
        <v>135598</v>
      </c>
      <c r="F32" s="9"/>
      <c r="G32" s="9">
        <v>10</v>
      </c>
      <c r="H32" s="8">
        <f t="shared" si="5"/>
        <v>113932.33333333333</v>
      </c>
      <c r="J32" s="7">
        <f t="shared" si="6"/>
        <v>0.13943404663770564</v>
      </c>
    </row>
    <row r="33" spans="1:10" x14ac:dyDescent="0.2">
      <c r="A33" s="13"/>
      <c r="B33" s="7">
        <v>1</v>
      </c>
      <c r="C33" s="1">
        <v>19815.099999999999</v>
      </c>
      <c r="D33" s="1">
        <v>19862.2</v>
      </c>
      <c r="E33" s="1">
        <v>19604.2</v>
      </c>
      <c r="F33" s="9"/>
      <c r="G33" s="9">
        <v>100</v>
      </c>
      <c r="H33" s="8">
        <f t="shared" si="5"/>
        <v>19760.5</v>
      </c>
      <c r="J33" s="7">
        <f t="shared" si="6"/>
        <v>0.24035319303681604</v>
      </c>
    </row>
    <row r="34" spans="1:10" x14ac:dyDescent="0.2">
      <c r="A34" s="13"/>
      <c r="B34" s="7">
        <v>5</v>
      </c>
      <c r="C34" s="1">
        <v>286791</v>
      </c>
      <c r="D34" s="1">
        <v>302327</v>
      </c>
      <c r="E34" s="1">
        <v>323662</v>
      </c>
      <c r="F34" s="9"/>
      <c r="G34" s="9">
        <v>100</v>
      </c>
      <c r="H34" s="8">
        <f t="shared" si="5"/>
        <v>304260</v>
      </c>
      <c r="J34" s="7">
        <f t="shared" si="6"/>
        <v>3.7266270676206368</v>
      </c>
    </row>
    <row r="35" spans="1:10" ht="13.5" thickBot="1" x14ac:dyDescent="0.25">
      <c r="A35" s="14"/>
      <c r="B35" s="15">
        <v>25</v>
      </c>
      <c r="C35" s="1">
        <v>286201</v>
      </c>
      <c r="D35" s="1">
        <v>273760</v>
      </c>
      <c r="E35" s="1">
        <v>320675</v>
      </c>
      <c r="F35" s="9"/>
      <c r="G35" s="9">
        <v>500</v>
      </c>
      <c r="H35" s="8">
        <f t="shared" si="5"/>
        <v>293545.33333333331</v>
      </c>
      <c r="J35" s="7">
        <f t="shared" si="6"/>
        <v>17.976644509914134</v>
      </c>
    </row>
    <row r="36" spans="1:10" x14ac:dyDescent="0.2">
      <c r="A36" s="11" t="s">
        <v>109</v>
      </c>
      <c r="B36" s="12">
        <v>0</v>
      </c>
      <c r="C36" s="1">
        <v>6346.75</v>
      </c>
      <c r="D36" s="1">
        <v>7038.73</v>
      </c>
      <c r="E36" s="1">
        <v>6596.73</v>
      </c>
      <c r="F36" s="9"/>
      <c r="G36" s="9">
        <v>10</v>
      </c>
      <c r="H36" s="8">
        <f t="shared" si="5"/>
        <v>6660.7366666666667</v>
      </c>
      <c r="J36" s="7">
        <f t="shared" si="6"/>
        <v>7.982791031318711E-3</v>
      </c>
    </row>
    <row r="37" spans="1:10" x14ac:dyDescent="0.2">
      <c r="A37" s="13"/>
      <c r="B37" s="7">
        <v>0.1</v>
      </c>
      <c r="C37" s="1">
        <v>6955.82</v>
      </c>
      <c r="D37" s="1">
        <v>7279.33</v>
      </c>
      <c r="E37" s="1">
        <v>9087.89</v>
      </c>
      <c r="F37" s="9"/>
      <c r="G37" s="9">
        <v>10</v>
      </c>
      <c r="H37" s="8">
        <f t="shared" si="5"/>
        <v>7774.3466666666673</v>
      </c>
      <c r="J37" s="7">
        <f t="shared" si="6"/>
        <v>9.3474153802104634E-3</v>
      </c>
    </row>
    <row r="38" spans="1:10" x14ac:dyDescent="0.2">
      <c r="A38" s="13"/>
      <c r="B38" s="7">
        <v>0.25</v>
      </c>
      <c r="C38" s="1">
        <v>11941.6</v>
      </c>
      <c r="D38" s="1">
        <v>15906.6</v>
      </c>
      <c r="E38" s="1">
        <v>12436.7</v>
      </c>
      <c r="F38" s="9"/>
      <c r="G38" s="9">
        <v>10</v>
      </c>
      <c r="H38" s="8">
        <f t="shared" si="5"/>
        <v>13428.300000000001</v>
      </c>
      <c r="J38" s="7">
        <f t="shared" si="6"/>
        <v>1.6275803582691001E-2</v>
      </c>
    </row>
    <row r="39" spans="1:10" x14ac:dyDescent="0.2">
      <c r="A39" s="13"/>
      <c r="B39" s="7">
        <v>0.5</v>
      </c>
      <c r="C39" s="1">
        <v>20679.099999999999</v>
      </c>
      <c r="D39" s="1">
        <v>19856.900000000001</v>
      </c>
      <c r="E39" s="1">
        <v>27832.1</v>
      </c>
      <c r="F39" s="9"/>
      <c r="G39" s="9">
        <v>10</v>
      </c>
      <c r="H39" s="8">
        <f t="shared" si="5"/>
        <v>22789.366666666669</v>
      </c>
      <c r="J39" s="7">
        <f t="shared" si="6"/>
        <v>2.7746910617408971E-2</v>
      </c>
    </row>
    <row r="40" spans="1:10" x14ac:dyDescent="0.2">
      <c r="A40" s="13"/>
      <c r="B40" s="7">
        <v>1</v>
      </c>
      <c r="C40" s="1">
        <v>9740.3700000000008</v>
      </c>
      <c r="D40" s="1">
        <v>8711.14</v>
      </c>
      <c r="E40" s="1">
        <v>8720.26</v>
      </c>
      <c r="F40" s="9"/>
      <c r="G40" s="9">
        <v>100</v>
      </c>
      <c r="H40" s="8">
        <f t="shared" si="5"/>
        <v>9057.256666666668</v>
      </c>
      <c r="J40" s="7">
        <f t="shared" si="6"/>
        <v>0.10919500960832691</v>
      </c>
    </row>
    <row r="41" spans="1:10" x14ac:dyDescent="0.2">
      <c r="A41" s="13"/>
      <c r="B41" s="7">
        <v>5</v>
      </c>
      <c r="C41" s="1">
        <v>257142</v>
      </c>
      <c r="D41" s="1">
        <v>262055</v>
      </c>
      <c r="E41" s="1">
        <v>274487</v>
      </c>
      <c r="F41" s="9"/>
      <c r="G41" s="9">
        <v>100</v>
      </c>
      <c r="H41" s="8">
        <f t="shared" si="5"/>
        <v>264561.33333333331</v>
      </c>
      <c r="J41" s="7">
        <f t="shared" si="6"/>
        <v>3.2401572339098159</v>
      </c>
    </row>
    <row r="42" spans="1:10" ht="13.5" thickBot="1" x14ac:dyDescent="0.25">
      <c r="A42" s="14"/>
      <c r="B42" s="15">
        <v>25</v>
      </c>
      <c r="C42" s="1">
        <v>302115</v>
      </c>
      <c r="D42" s="1">
        <v>304674</v>
      </c>
      <c r="E42" s="1">
        <v>304377</v>
      </c>
      <c r="F42" s="9"/>
      <c r="G42" s="9">
        <v>500</v>
      </c>
      <c r="H42" s="8">
        <f t="shared" si="5"/>
        <v>303722</v>
      </c>
      <c r="J42" s="7">
        <f t="shared" si="6"/>
        <v>18.60017191734979</v>
      </c>
    </row>
    <row r="43" spans="1:10" x14ac:dyDescent="0.2">
      <c r="C43" s="9"/>
      <c r="D43" s="9"/>
      <c r="E43" s="9"/>
      <c r="F43" s="9"/>
      <c r="G43" s="9"/>
    </row>
    <row r="45" spans="1:10" ht="13.5" thickBot="1" x14ac:dyDescent="0.25">
      <c r="B45" s="7" t="s">
        <v>113</v>
      </c>
    </row>
    <row r="46" spans="1:10" x14ac:dyDescent="0.2">
      <c r="A46" s="11" t="s">
        <v>106</v>
      </c>
      <c r="B46" s="12">
        <v>0</v>
      </c>
      <c r="C46" s="1">
        <v>8322.5</v>
      </c>
      <c r="D46" s="1">
        <v>8294.67</v>
      </c>
      <c r="E46" s="1">
        <v>8676.83</v>
      </c>
      <c r="F46" s="9"/>
      <c r="G46" s="9">
        <v>10</v>
      </c>
      <c r="H46" s="8">
        <f t="shared" ref="H46:H59" si="7">AVERAGE(C46:E46)</f>
        <v>8431.3333333333339</v>
      </c>
      <c r="J46" s="7">
        <f>((H46-$O$13)/$O$12)*G46/1000</f>
        <v>1.0152490767671571E-2</v>
      </c>
    </row>
    <row r="47" spans="1:10" x14ac:dyDescent="0.2">
      <c r="A47" s="13"/>
      <c r="B47" s="7">
        <v>0.1</v>
      </c>
      <c r="C47" s="1">
        <v>12294.3</v>
      </c>
      <c r="D47" s="1">
        <v>9823.3799999999992</v>
      </c>
      <c r="E47" s="1">
        <v>9339.08</v>
      </c>
      <c r="F47" s="9"/>
      <c r="G47" s="9">
        <v>10</v>
      </c>
      <c r="H47" s="8">
        <f t="shared" si="7"/>
        <v>10485.586666666668</v>
      </c>
      <c r="J47" s="7">
        <f t="shared" ref="J47:J59" si="8">((H47-$O$13)/$O$12)*G47/1000</f>
        <v>1.2669785078479403E-2</v>
      </c>
    </row>
    <row r="48" spans="1:10" x14ac:dyDescent="0.2">
      <c r="A48" s="13"/>
      <c r="B48" s="7">
        <v>0.25</v>
      </c>
      <c r="C48" s="1">
        <v>13063.4</v>
      </c>
      <c r="D48" s="1">
        <v>9896.33</v>
      </c>
      <c r="E48" s="1">
        <v>8672.5499999999993</v>
      </c>
      <c r="F48" s="9"/>
      <c r="G48" s="9">
        <v>10</v>
      </c>
      <c r="H48" s="8">
        <f t="shared" si="7"/>
        <v>10544.093333333332</v>
      </c>
      <c r="J48" s="7">
        <f t="shared" si="8"/>
        <v>1.2741479497446388E-2</v>
      </c>
    </row>
    <row r="49" spans="1:10" x14ac:dyDescent="0.2">
      <c r="A49" s="13"/>
      <c r="B49" s="7">
        <v>0.5</v>
      </c>
      <c r="C49" s="1">
        <v>11342.7</v>
      </c>
      <c r="D49" s="1">
        <v>12250</v>
      </c>
      <c r="E49" s="1">
        <v>17576.5</v>
      </c>
      <c r="F49" s="9"/>
      <c r="G49" s="9">
        <v>10</v>
      </c>
      <c r="H49" s="8">
        <f t="shared" si="7"/>
        <v>13723.066666666666</v>
      </c>
      <c r="J49" s="7">
        <f t="shared" si="8"/>
        <v>1.6637012417538916E-2</v>
      </c>
    </row>
    <row r="50" spans="1:10" x14ac:dyDescent="0.2">
      <c r="A50" s="13"/>
      <c r="B50" s="7">
        <v>1</v>
      </c>
      <c r="C50" s="1">
        <v>5299.01</v>
      </c>
      <c r="D50" s="1">
        <v>5601.96</v>
      </c>
      <c r="E50" s="1">
        <v>4896.67</v>
      </c>
      <c r="F50" s="9"/>
      <c r="G50" s="9">
        <v>100</v>
      </c>
      <c r="H50" s="8">
        <f t="shared" si="7"/>
        <v>5265.88</v>
      </c>
      <c r="J50" s="7">
        <f t="shared" si="8"/>
        <v>6.2735253363740556E-2</v>
      </c>
    </row>
    <row r="51" spans="1:10" x14ac:dyDescent="0.2">
      <c r="A51" s="13"/>
      <c r="B51" s="7">
        <v>5</v>
      </c>
      <c r="C51" s="1">
        <v>121868</v>
      </c>
      <c r="D51" s="1">
        <v>162397</v>
      </c>
      <c r="E51" s="1">
        <v>158581</v>
      </c>
      <c r="F51" s="9"/>
      <c r="G51" s="9">
        <v>100</v>
      </c>
      <c r="H51" s="8">
        <f t="shared" si="7"/>
        <v>147615.33333333334</v>
      </c>
      <c r="J51" s="7">
        <f t="shared" si="8"/>
        <v>1.8070939612605514</v>
      </c>
    </row>
    <row r="52" spans="1:10" ht="13.5" thickBot="1" x14ac:dyDescent="0.25">
      <c r="A52" s="14"/>
      <c r="B52" s="15">
        <v>25</v>
      </c>
      <c r="C52" s="1">
        <v>264098</v>
      </c>
      <c r="D52" s="1">
        <v>245688</v>
      </c>
      <c r="E52" s="1">
        <v>278325</v>
      </c>
      <c r="F52" s="9"/>
      <c r="G52" s="9">
        <v>500</v>
      </c>
      <c r="H52" s="8">
        <f t="shared" si="7"/>
        <v>262703.66666666669</v>
      </c>
      <c r="J52" s="7">
        <f t="shared" si="8"/>
        <v>16.086966377815088</v>
      </c>
    </row>
    <row r="53" spans="1:10" x14ac:dyDescent="0.2">
      <c r="A53" s="11" t="s">
        <v>109</v>
      </c>
      <c r="B53" s="12">
        <v>0</v>
      </c>
      <c r="C53" s="1">
        <v>5992.76</v>
      </c>
      <c r="D53" s="1">
        <v>6399.3</v>
      </c>
      <c r="E53" s="1">
        <v>6074.52</v>
      </c>
      <c r="F53" s="9"/>
      <c r="G53" s="9">
        <v>10</v>
      </c>
      <c r="H53" s="8">
        <f t="shared" si="7"/>
        <v>6155.5266666666676</v>
      </c>
      <c r="J53" s="7">
        <f t="shared" si="8"/>
        <v>7.3637036782026304E-3</v>
      </c>
    </row>
    <row r="54" spans="1:10" x14ac:dyDescent="0.2">
      <c r="A54" s="13"/>
      <c r="B54" s="7">
        <v>0.1</v>
      </c>
      <c r="C54" s="1">
        <v>3573.78</v>
      </c>
      <c r="D54" s="1">
        <v>3743.04</v>
      </c>
      <c r="E54" s="1">
        <v>4788.91</v>
      </c>
      <c r="F54" s="9"/>
      <c r="G54" s="9">
        <v>10</v>
      </c>
      <c r="H54" s="8">
        <f t="shared" si="7"/>
        <v>4035.2433333333333</v>
      </c>
      <c r="J54" s="7">
        <f t="shared" si="8"/>
        <v>4.7654958108019844E-3</v>
      </c>
    </row>
    <row r="55" spans="1:10" x14ac:dyDescent="0.2">
      <c r="A55" s="13"/>
      <c r="B55" s="7">
        <v>0.25</v>
      </c>
      <c r="C55" s="1">
        <v>3589.28</v>
      </c>
      <c r="D55" s="1">
        <v>4449.47</v>
      </c>
      <c r="E55" s="1">
        <v>5661.73</v>
      </c>
      <c r="F55" s="9"/>
      <c r="G55" s="9">
        <v>10</v>
      </c>
      <c r="H55" s="8">
        <f t="shared" si="7"/>
        <v>4566.8266666666668</v>
      </c>
      <c r="J55" s="7">
        <f t="shared" si="8"/>
        <v>5.4169012041907884E-3</v>
      </c>
    </row>
    <row r="56" spans="1:10" x14ac:dyDescent="0.2">
      <c r="A56" s="13"/>
      <c r="B56" s="7">
        <v>0.5</v>
      </c>
      <c r="C56" s="1">
        <v>4100.7299999999996</v>
      </c>
      <c r="D56" s="1">
        <v>3911.22</v>
      </c>
      <c r="E56" s="1">
        <v>9397.9500000000007</v>
      </c>
      <c r="F56" s="9"/>
      <c r="G56" s="9">
        <v>10</v>
      </c>
      <c r="H56" s="8">
        <f t="shared" si="7"/>
        <v>5803.3</v>
      </c>
      <c r="J56" s="7">
        <f t="shared" si="8"/>
        <v>6.9320830159758963E-3</v>
      </c>
    </row>
    <row r="57" spans="1:10" x14ac:dyDescent="0.2">
      <c r="A57" s="13"/>
      <c r="B57" s="7">
        <v>1</v>
      </c>
      <c r="C57" s="1">
        <v>3930.86</v>
      </c>
      <c r="D57" s="1">
        <v>4094.49</v>
      </c>
      <c r="E57" s="1">
        <v>5446.47</v>
      </c>
      <c r="F57" s="9"/>
      <c r="G57" s="9">
        <v>100</v>
      </c>
      <c r="H57" s="8">
        <f t="shared" si="7"/>
        <v>4490.6066666666666</v>
      </c>
      <c r="J57" s="7">
        <f t="shared" si="8"/>
        <v>5.3235007607029164E-2</v>
      </c>
    </row>
    <row r="58" spans="1:10" x14ac:dyDescent="0.2">
      <c r="A58" s="13"/>
      <c r="B58" s="7">
        <v>5</v>
      </c>
      <c r="C58" s="1">
        <v>97455.4</v>
      </c>
      <c r="D58" s="1">
        <v>107036</v>
      </c>
      <c r="E58" s="1">
        <v>130914</v>
      </c>
      <c r="F58" s="9"/>
      <c r="G58" s="9">
        <v>100</v>
      </c>
      <c r="H58" s="8">
        <f t="shared" si="7"/>
        <v>111801.8</v>
      </c>
      <c r="J58" s="7">
        <f t="shared" si="8"/>
        <v>1.3682327835905139</v>
      </c>
    </row>
    <row r="59" spans="1:10" ht="13.5" thickBot="1" x14ac:dyDescent="0.25">
      <c r="A59" s="14"/>
      <c r="B59" s="15">
        <v>25</v>
      </c>
      <c r="C59" s="1">
        <v>261894</v>
      </c>
      <c r="D59" s="1">
        <v>258063</v>
      </c>
      <c r="E59" s="1">
        <v>252515</v>
      </c>
      <c r="F59" s="9"/>
      <c r="G59" s="9">
        <v>500</v>
      </c>
      <c r="H59" s="8">
        <f t="shared" si="7"/>
        <v>257490.66666666666</v>
      </c>
      <c r="J59" s="7">
        <f t="shared" si="8"/>
        <v>15.767564310180422</v>
      </c>
    </row>
    <row r="60" spans="1:10" x14ac:dyDescent="0.2">
      <c r="C60" s="9"/>
      <c r="D60" s="9"/>
      <c r="E60" s="9"/>
      <c r="F60" s="9"/>
      <c r="G60" s="9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uminescence 1_01"/>
  <dimension ref="A1:AA46"/>
  <sheetViews>
    <sheetView tabSelected="1" topLeftCell="G7" workbookViewId="0">
      <selection activeCell="AA13" sqref="AA13"/>
    </sheetView>
  </sheetViews>
  <sheetFormatPr defaultColWidth="9.140625" defaultRowHeight="15" customHeight="1" x14ac:dyDescent="0.2"/>
  <cols>
    <col min="1" max="1" width="25.7109375" customWidth="1"/>
    <col min="2" max="25" width="8.85546875" customWidth="1"/>
  </cols>
  <sheetData>
    <row r="1" spans="1:27" ht="15" customHeight="1" x14ac:dyDescent="0.2">
      <c r="A1" t="s">
        <v>0</v>
      </c>
    </row>
    <row r="2" spans="1:27" ht="15" customHeight="1" x14ac:dyDescent="0.2">
      <c r="A2" t="s">
        <v>1</v>
      </c>
    </row>
    <row r="3" spans="1:27" ht="15" customHeight="1" x14ac:dyDescent="0.2">
      <c r="A3" t="s">
        <v>2</v>
      </c>
    </row>
    <row r="4" spans="1:27" ht="15" customHeight="1" x14ac:dyDescent="0.2">
      <c r="A4" t="s">
        <v>3</v>
      </c>
    </row>
    <row r="5" spans="1:27" ht="15" customHeight="1" x14ac:dyDescent="0.2">
      <c r="A5" t="s">
        <v>4</v>
      </c>
    </row>
    <row r="6" spans="1:27" ht="15" customHeight="1" x14ac:dyDescent="0.2">
      <c r="A6" t="s">
        <v>5</v>
      </c>
    </row>
    <row r="7" spans="1:27" ht="15" customHeight="1" x14ac:dyDescent="0.2">
      <c r="A7" t="s">
        <v>3</v>
      </c>
    </row>
    <row r="8" spans="1:27" ht="15" customHeight="1" x14ac:dyDescent="0.2">
      <c r="A8" t="s">
        <v>6</v>
      </c>
    </row>
    <row r="9" spans="1:27" ht="15" customHeight="1" x14ac:dyDescent="0.2">
      <c r="A9" t="s">
        <v>3</v>
      </c>
    </row>
    <row r="10" spans="1:27" ht="15" customHeight="1" x14ac:dyDescent="0.2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N10" s="1">
        <v>13</v>
      </c>
      <c r="O10" s="1">
        <v>14</v>
      </c>
      <c r="P10" s="1">
        <v>15</v>
      </c>
      <c r="Q10" s="1">
        <v>16</v>
      </c>
      <c r="R10" s="1">
        <v>17</v>
      </c>
      <c r="S10" s="1">
        <v>18</v>
      </c>
      <c r="T10" s="1">
        <v>19</v>
      </c>
      <c r="U10" s="1">
        <v>20</v>
      </c>
      <c r="V10" s="1">
        <v>21</v>
      </c>
      <c r="W10" s="1">
        <v>22</v>
      </c>
      <c r="X10" s="1">
        <v>23</v>
      </c>
      <c r="Y10" s="1">
        <v>24</v>
      </c>
    </row>
    <row r="11" spans="1:27" ht="15" customHeight="1" x14ac:dyDescent="0.2">
      <c r="A11" t="s">
        <v>8</v>
      </c>
      <c r="B11" s="16">
        <v>3483.56</v>
      </c>
      <c r="C11" s="17">
        <v>3956.28</v>
      </c>
      <c r="D11" s="17">
        <v>3742.52</v>
      </c>
      <c r="E11" s="17">
        <v>3879.92</v>
      </c>
      <c r="F11" s="17">
        <v>3727.08</v>
      </c>
      <c r="G11" s="17">
        <v>3497.57</v>
      </c>
      <c r="H11" s="17">
        <v>3071.32</v>
      </c>
      <c r="I11" s="17">
        <v>2883.63</v>
      </c>
      <c r="J11" s="17">
        <v>2895.22</v>
      </c>
      <c r="K11" s="17">
        <v>3397.62</v>
      </c>
      <c r="L11" s="17">
        <v>2897.47</v>
      </c>
      <c r="M11" s="17">
        <v>2817.59</v>
      </c>
      <c r="N11" s="17">
        <v>2948.74</v>
      </c>
      <c r="O11" s="17">
        <v>2604.17</v>
      </c>
      <c r="P11" s="17">
        <v>2885.32</v>
      </c>
      <c r="Q11" s="17">
        <v>3040.34</v>
      </c>
      <c r="R11" s="17">
        <v>3087.62</v>
      </c>
      <c r="S11" s="17">
        <v>3341.12</v>
      </c>
      <c r="T11" s="17">
        <v>5159.4799999999996</v>
      </c>
      <c r="U11" s="17">
        <v>5974.79</v>
      </c>
      <c r="V11" s="18">
        <v>5568.45</v>
      </c>
      <c r="W11" s="1">
        <v>2917.57</v>
      </c>
      <c r="X11" s="27">
        <v>7441.93</v>
      </c>
      <c r="Y11" s="1">
        <v>2336.87</v>
      </c>
    </row>
    <row r="12" spans="1:27" ht="15" customHeight="1" x14ac:dyDescent="0.2">
      <c r="A12" t="s">
        <v>9</v>
      </c>
      <c r="B12" s="19">
        <v>24167.3</v>
      </c>
      <c r="C12" s="1">
        <v>27368.3</v>
      </c>
      <c r="D12" s="1">
        <v>27549.3</v>
      </c>
      <c r="E12" s="1">
        <v>25654.799999999999</v>
      </c>
      <c r="F12" s="1">
        <v>24189.7</v>
      </c>
      <c r="G12" s="1">
        <v>26017.8</v>
      </c>
      <c r="H12" s="1">
        <v>6483.47</v>
      </c>
      <c r="I12" s="1">
        <v>6668.67</v>
      </c>
      <c r="J12" s="1">
        <v>6302.26</v>
      </c>
      <c r="K12" s="1">
        <v>6198.89</v>
      </c>
      <c r="L12" s="1">
        <v>5713.55</v>
      </c>
      <c r="M12" s="1">
        <v>6963.53</v>
      </c>
      <c r="N12" s="1">
        <v>3335.03</v>
      </c>
      <c r="O12" s="1">
        <v>4478.45</v>
      </c>
      <c r="P12" s="1">
        <v>3367.02</v>
      </c>
      <c r="Q12" s="1">
        <v>3739.14</v>
      </c>
      <c r="R12" s="1">
        <v>3804.91</v>
      </c>
      <c r="S12" s="1">
        <v>4857.7</v>
      </c>
      <c r="T12" s="1">
        <v>78317.5</v>
      </c>
      <c r="U12" s="1">
        <v>84218.7</v>
      </c>
      <c r="V12" s="20">
        <v>80531.7</v>
      </c>
      <c r="W12" s="27">
        <v>3828.12</v>
      </c>
      <c r="X12" s="1">
        <v>2709.09</v>
      </c>
      <c r="Y12" s="1">
        <v>2492.64</v>
      </c>
    </row>
    <row r="13" spans="1:27" ht="15" customHeight="1" x14ac:dyDescent="0.2">
      <c r="A13" t="s">
        <v>10</v>
      </c>
      <c r="B13" s="19">
        <v>81358.399999999994</v>
      </c>
      <c r="C13" s="1">
        <v>74309.899999999994</v>
      </c>
      <c r="D13" s="1">
        <v>76938.3</v>
      </c>
      <c r="E13" s="1">
        <v>83330.600000000006</v>
      </c>
      <c r="F13" s="1">
        <v>78445.600000000006</v>
      </c>
      <c r="G13" s="1">
        <v>82282.600000000006</v>
      </c>
      <c r="H13" s="1">
        <v>13603.4</v>
      </c>
      <c r="I13" s="1">
        <v>14999.9</v>
      </c>
      <c r="J13" s="1">
        <v>13558.1</v>
      </c>
      <c r="K13" s="1">
        <v>11155.3</v>
      </c>
      <c r="L13" s="1">
        <v>11110.1</v>
      </c>
      <c r="M13" s="1">
        <v>12741.6</v>
      </c>
      <c r="N13" s="1">
        <v>4098.6000000000004</v>
      </c>
      <c r="O13" s="1">
        <v>4699.47</v>
      </c>
      <c r="P13" s="1">
        <v>3988.12</v>
      </c>
      <c r="Q13" s="1">
        <v>4622.92</v>
      </c>
      <c r="R13" s="1">
        <v>4705.16</v>
      </c>
      <c r="S13" s="1">
        <v>7069.31</v>
      </c>
      <c r="T13" s="1">
        <v>207688</v>
      </c>
      <c r="U13" s="1">
        <v>227627</v>
      </c>
      <c r="V13" s="20">
        <v>211219</v>
      </c>
      <c r="W13" s="27">
        <v>5311.44</v>
      </c>
      <c r="X13" s="1">
        <v>3387.9</v>
      </c>
      <c r="Y13" s="1">
        <v>2702.8</v>
      </c>
    </row>
    <row r="14" spans="1:27" ht="15" customHeight="1" x14ac:dyDescent="0.2">
      <c r="A14" t="s">
        <v>11</v>
      </c>
      <c r="B14" s="19">
        <v>285036</v>
      </c>
      <c r="C14" s="1">
        <v>314873</v>
      </c>
      <c r="D14" s="1">
        <v>290848</v>
      </c>
      <c r="E14" s="1">
        <v>304549</v>
      </c>
      <c r="F14" s="1">
        <v>298098</v>
      </c>
      <c r="G14" s="1">
        <v>352609</v>
      </c>
      <c r="H14" s="1">
        <v>53462.6</v>
      </c>
      <c r="I14" s="1">
        <v>55732.2</v>
      </c>
      <c r="J14" s="1">
        <v>58915.4</v>
      </c>
      <c r="K14" s="1">
        <v>51346.400000000001</v>
      </c>
      <c r="L14" s="1">
        <v>48262</v>
      </c>
      <c r="M14" s="1">
        <v>55277.7</v>
      </c>
      <c r="N14" s="1">
        <v>6546.22</v>
      </c>
      <c r="O14" s="1">
        <v>6330.02</v>
      </c>
      <c r="P14" s="1">
        <v>6294.08</v>
      </c>
      <c r="Q14" s="1">
        <v>7043.18</v>
      </c>
      <c r="R14" s="1">
        <v>6680.75</v>
      </c>
      <c r="S14" s="1">
        <v>12011.4</v>
      </c>
      <c r="T14" s="1">
        <v>514414</v>
      </c>
      <c r="U14" s="1">
        <v>540595</v>
      </c>
      <c r="V14" s="20">
        <v>504299</v>
      </c>
      <c r="W14" s="27">
        <v>7769.59</v>
      </c>
      <c r="X14" s="1">
        <v>3527.86</v>
      </c>
      <c r="Y14" s="1">
        <v>3339.82</v>
      </c>
    </row>
    <row r="15" spans="1:27" ht="15" customHeight="1" x14ac:dyDescent="0.2">
      <c r="A15" t="s">
        <v>12</v>
      </c>
      <c r="B15" s="19">
        <v>60474.1</v>
      </c>
      <c r="C15" s="1">
        <v>65226</v>
      </c>
      <c r="D15" s="1">
        <v>61053.7</v>
      </c>
      <c r="E15" s="1">
        <v>67988.5</v>
      </c>
      <c r="F15" s="1">
        <v>63551.4</v>
      </c>
      <c r="G15" s="1">
        <v>68141.3</v>
      </c>
      <c r="H15" s="1">
        <v>32360.2</v>
      </c>
      <c r="I15" s="1">
        <v>31590.7</v>
      </c>
      <c r="J15" s="1">
        <v>32469.5</v>
      </c>
      <c r="K15" s="1">
        <v>38575</v>
      </c>
      <c r="L15" s="1">
        <v>34994.699999999997</v>
      </c>
      <c r="M15" s="1">
        <v>37233.800000000003</v>
      </c>
      <c r="N15" s="1">
        <v>7324.87</v>
      </c>
      <c r="O15" s="1">
        <v>7975.94</v>
      </c>
      <c r="P15" s="1">
        <v>7612.53</v>
      </c>
      <c r="Q15" s="1">
        <v>8173</v>
      </c>
      <c r="R15" s="1">
        <v>7783.31</v>
      </c>
      <c r="S15" s="1">
        <v>9395.2099999999991</v>
      </c>
      <c r="T15" s="1">
        <v>82998</v>
      </c>
      <c r="U15" s="1">
        <v>91295.3</v>
      </c>
      <c r="V15" s="20">
        <v>84879.4</v>
      </c>
      <c r="W15" s="27">
        <v>7672.89</v>
      </c>
      <c r="X15" s="1">
        <v>6232.95</v>
      </c>
      <c r="Y15" s="1">
        <v>6240.63</v>
      </c>
    </row>
    <row r="16" spans="1:27" ht="15" customHeight="1" x14ac:dyDescent="0.2">
      <c r="A16" t="s">
        <v>13</v>
      </c>
      <c r="B16" s="19">
        <v>344791</v>
      </c>
      <c r="C16" s="1">
        <v>380916</v>
      </c>
      <c r="D16" s="1">
        <v>351803</v>
      </c>
      <c r="E16" s="1">
        <v>394047</v>
      </c>
      <c r="F16" s="1">
        <v>358157</v>
      </c>
      <c r="G16" s="1">
        <v>419047</v>
      </c>
      <c r="H16" s="1">
        <v>327950</v>
      </c>
      <c r="I16" s="1">
        <v>358198</v>
      </c>
      <c r="J16" s="1">
        <v>346636</v>
      </c>
      <c r="K16" s="1">
        <v>359963</v>
      </c>
      <c r="L16" s="1">
        <v>349676</v>
      </c>
      <c r="M16" s="1">
        <v>403427</v>
      </c>
      <c r="N16" s="1">
        <v>268661</v>
      </c>
      <c r="O16" s="1">
        <v>285705</v>
      </c>
      <c r="P16" s="1">
        <v>266002</v>
      </c>
      <c r="Q16" s="1">
        <v>289501</v>
      </c>
      <c r="R16" s="1">
        <v>262747</v>
      </c>
      <c r="S16" s="1">
        <v>284797</v>
      </c>
      <c r="T16" s="1">
        <v>398927</v>
      </c>
      <c r="U16" s="1">
        <v>431669</v>
      </c>
      <c r="V16" s="20">
        <v>412862</v>
      </c>
      <c r="W16" s="27">
        <v>19177</v>
      </c>
      <c r="X16" s="1">
        <v>14876.4</v>
      </c>
      <c r="Y16" s="1">
        <v>15597.7</v>
      </c>
      <c r="AA16" s="26"/>
    </row>
    <row r="17" spans="1:25" ht="15" customHeight="1" x14ac:dyDescent="0.2">
      <c r="A17" t="s">
        <v>14</v>
      </c>
      <c r="B17" s="21">
        <v>328898</v>
      </c>
      <c r="C17" s="22">
        <v>355363</v>
      </c>
      <c r="D17" s="22">
        <v>339001</v>
      </c>
      <c r="E17" s="22">
        <v>362731</v>
      </c>
      <c r="F17" s="22">
        <v>338661</v>
      </c>
      <c r="G17" s="22">
        <v>364530</v>
      </c>
      <c r="H17" s="22">
        <v>338050</v>
      </c>
      <c r="I17" s="22">
        <v>360055</v>
      </c>
      <c r="J17" s="22">
        <v>351408</v>
      </c>
      <c r="K17" s="22">
        <v>359356</v>
      </c>
      <c r="L17" s="22">
        <v>355927</v>
      </c>
      <c r="M17" s="22">
        <v>396787</v>
      </c>
      <c r="N17" s="22">
        <v>357805</v>
      </c>
      <c r="O17" s="22">
        <v>357088</v>
      </c>
      <c r="P17" s="22">
        <v>359999</v>
      </c>
      <c r="Q17" s="22">
        <v>348088</v>
      </c>
      <c r="R17" s="22">
        <v>338582</v>
      </c>
      <c r="S17" s="22">
        <v>362781</v>
      </c>
      <c r="T17" s="22">
        <v>370786</v>
      </c>
      <c r="U17" s="22">
        <v>376247</v>
      </c>
      <c r="V17" s="23">
        <v>391189</v>
      </c>
      <c r="W17" s="27">
        <v>77806.100000000006</v>
      </c>
      <c r="X17" s="1">
        <v>72248.5</v>
      </c>
      <c r="Y17" s="1">
        <v>72672.2</v>
      </c>
    </row>
    <row r="18" spans="1:25" ht="15" customHeight="1" x14ac:dyDescent="0.2">
      <c r="A18" t="s">
        <v>15</v>
      </c>
      <c r="B18" s="1">
        <v>7742.24</v>
      </c>
      <c r="C18" s="1">
        <v>8277.02</v>
      </c>
      <c r="D18" s="1">
        <v>8886.32</v>
      </c>
      <c r="E18" s="1">
        <v>7994.24</v>
      </c>
      <c r="F18" s="1">
        <v>7464.29</v>
      </c>
      <c r="G18" s="1">
        <v>7612.24</v>
      </c>
      <c r="H18" s="1">
        <v>8303.24</v>
      </c>
      <c r="I18" s="1">
        <v>8195.61</v>
      </c>
      <c r="J18" s="1">
        <v>8595.15</v>
      </c>
      <c r="K18" s="1">
        <v>6346.75</v>
      </c>
      <c r="L18" s="1">
        <v>7038.73</v>
      </c>
      <c r="M18" s="1">
        <v>6596.73</v>
      </c>
      <c r="N18" s="1">
        <v>8322.5</v>
      </c>
      <c r="O18" s="1">
        <v>8294.67</v>
      </c>
      <c r="P18" s="1">
        <v>8676.83</v>
      </c>
      <c r="Q18" s="1">
        <v>5992.76</v>
      </c>
      <c r="R18" s="1">
        <v>6399.3</v>
      </c>
      <c r="S18" s="1">
        <v>6074.52</v>
      </c>
      <c r="T18" s="1">
        <v>8927.6299999999992</v>
      </c>
      <c r="U18" s="1">
        <v>9461.26</v>
      </c>
      <c r="V18" s="1">
        <v>11228</v>
      </c>
      <c r="W18" s="27">
        <v>208307</v>
      </c>
      <c r="X18" s="1">
        <v>195683</v>
      </c>
      <c r="Y18" s="1">
        <v>198720</v>
      </c>
    </row>
    <row r="19" spans="1:25" ht="15" customHeight="1" x14ac:dyDescent="0.2">
      <c r="A19" t="s">
        <v>16</v>
      </c>
      <c r="B19" s="1">
        <v>58927.3</v>
      </c>
      <c r="C19" s="1">
        <v>60632.7</v>
      </c>
      <c r="D19" s="1">
        <v>58740.6</v>
      </c>
      <c r="E19" s="1">
        <v>30032.9</v>
      </c>
      <c r="F19" s="1">
        <v>31037.3</v>
      </c>
      <c r="G19" s="1">
        <v>34051.9</v>
      </c>
      <c r="H19" s="1">
        <v>31800.3</v>
      </c>
      <c r="I19" s="1">
        <v>26967</v>
      </c>
      <c r="J19" s="1">
        <v>27480.2</v>
      </c>
      <c r="K19" s="1">
        <v>6955.82</v>
      </c>
      <c r="L19" s="1">
        <v>7279.33</v>
      </c>
      <c r="M19" s="1">
        <v>9087.89</v>
      </c>
      <c r="N19" s="1">
        <v>12294.3</v>
      </c>
      <c r="O19" s="1">
        <v>9823.3799999999992</v>
      </c>
      <c r="P19" s="1">
        <v>9339.08</v>
      </c>
      <c r="Q19" s="1">
        <v>3573.78</v>
      </c>
      <c r="R19" s="1">
        <v>3743.04</v>
      </c>
      <c r="S19" s="1">
        <v>4788.91</v>
      </c>
      <c r="T19" s="1">
        <v>75565.8</v>
      </c>
      <c r="U19" s="1">
        <v>86160.3</v>
      </c>
      <c r="V19" s="1">
        <v>82151</v>
      </c>
      <c r="W19" s="27">
        <v>434139</v>
      </c>
      <c r="X19" s="1">
        <v>422916</v>
      </c>
      <c r="Y19" s="1">
        <v>404154</v>
      </c>
    </row>
    <row r="20" spans="1:25" ht="15" customHeight="1" x14ac:dyDescent="0.2">
      <c r="A20" t="s">
        <v>17</v>
      </c>
      <c r="B20" s="1">
        <v>141629</v>
      </c>
      <c r="C20" s="1">
        <v>140581</v>
      </c>
      <c r="D20" s="1">
        <v>131039</v>
      </c>
      <c r="E20" s="1">
        <v>69720</v>
      </c>
      <c r="F20" s="1">
        <v>78110.600000000006</v>
      </c>
      <c r="G20" s="1">
        <v>69187.8</v>
      </c>
      <c r="H20" s="1">
        <v>59700</v>
      </c>
      <c r="I20" s="1">
        <v>51861.7</v>
      </c>
      <c r="J20" s="1">
        <v>46887.7</v>
      </c>
      <c r="K20" s="1">
        <v>11941.6</v>
      </c>
      <c r="L20" s="1">
        <v>15906.6</v>
      </c>
      <c r="M20" s="1">
        <v>12436.7</v>
      </c>
      <c r="N20" s="1">
        <v>13063.4</v>
      </c>
      <c r="O20" s="1">
        <v>9896.33</v>
      </c>
      <c r="P20" s="1">
        <v>8672.5499999999993</v>
      </c>
      <c r="Q20" s="1">
        <v>3589.28</v>
      </c>
      <c r="R20" s="1">
        <v>4449.47</v>
      </c>
      <c r="S20" s="1">
        <v>5661.73</v>
      </c>
      <c r="T20" s="1">
        <v>197560</v>
      </c>
      <c r="U20" s="1">
        <v>213929</v>
      </c>
      <c r="V20" s="1">
        <v>194232</v>
      </c>
    </row>
    <row r="21" spans="1:25" ht="15" customHeight="1" x14ac:dyDescent="0.2">
      <c r="A21" t="s">
        <v>18</v>
      </c>
      <c r="B21" s="1">
        <v>325603</v>
      </c>
      <c r="C21" s="1">
        <v>344540</v>
      </c>
      <c r="D21" s="1">
        <v>394658</v>
      </c>
      <c r="E21" s="1">
        <v>173446</v>
      </c>
      <c r="F21" s="1">
        <v>171264</v>
      </c>
      <c r="G21" s="1">
        <v>208043</v>
      </c>
      <c r="H21" s="1">
        <v>101906</v>
      </c>
      <c r="I21" s="1">
        <v>104293</v>
      </c>
      <c r="J21" s="1">
        <v>135598</v>
      </c>
      <c r="K21" s="1">
        <v>20679.099999999999</v>
      </c>
      <c r="L21" s="1">
        <v>19856.900000000001</v>
      </c>
      <c r="M21" s="1">
        <v>27832.1</v>
      </c>
      <c r="N21" s="1">
        <v>11342.7</v>
      </c>
      <c r="O21" s="1">
        <v>12250</v>
      </c>
      <c r="P21" s="1">
        <v>17576.5</v>
      </c>
      <c r="Q21" s="1">
        <v>4100.7299999999996</v>
      </c>
      <c r="R21" s="1">
        <v>3911.22</v>
      </c>
      <c r="S21" s="1">
        <v>9397.9500000000007</v>
      </c>
      <c r="T21" s="1">
        <v>496671</v>
      </c>
      <c r="U21" s="1">
        <v>522653</v>
      </c>
      <c r="V21" s="1">
        <v>485564</v>
      </c>
    </row>
    <row r="22" spans="1:25" ht="15" customHeight="1" x14ac:dyDescent="0.2">
      <c r="A22" t="s">
        <v>19</v>
      </c>
      <c r="B22" s="1">
        <v>51689.3</v>
      </c>
      <c r="C22" s="1">
        <v>53488.2</v>
      </c>
      <c r="D22" s="1">
        <v>50678.1</v>
      </c>
      <c r="E22" s="1">
        <v>38092.9</v>
      </c>
      <c r="F22" s="1">
        <v>33004.400000000001</v>
      </c>
      <c r="G22" s="1">
        <v>37462.1</v>
      </c>
      <c r="H22" s="1">
        <v>19815.099999999999</v>
      </c>
      <c r="I22" s="1">
        <v>19862.2</v>
      </c>
      <c r="J22" s="1">
        <v>19604.2</v>
      </c>
      <c r="K22" s="1">
        <v>9740.3700000000008</v>
      </c>
      <c r="L22" s="1">
        <v>8711.14</v>
      </c>
      <c r="M22" s="1">
        <v>8720.26</v>
      </c>
      <c r="N22" s="1">
        <v>5299.01</v>
      </c>
      <c r="O22" s="1">
        <v>5601.96</v>
      </c>
      <c r="P22" s="1">
        <v>4896.67</v>
      </c>
      <c r="Q22" s="1">
        <v>3930.86</v>
      </c>
      <c r="R22" s="1">
        <v>4094.49</v>
      </c>
      <c r="S22" s="1">
        <v>5446.47</v>
      </c>
      <c r="T22" s="1">
        <v>75194</v>
      </c>
      <c r="U22" s="1">
        <v>79100.7</v>
      </c>
      <c r="V22" s="1">
        <v>75141.7</v>
      </c>
    </row>
    <row r="23" spans="1:25" ht="15" customHeight="1" x14ac:dyDescent="0.2">
      <c r="A23" t="s">
        <v>20</v>
      </c>
      <c r="B23" s="1">
        <v>361129</v>
      </c>
      <c r="C23" s="1">
        <v>373629</v>
      </c>
      <c r="D23" s="1">
        <v>372603</v>
      </c>
      <c r="E23" s="1">
        <v>349268</v>
      </c>
      <c r="F23" s="1">
        <v>350697</v>
      </c>
      <c r="G23" s="1">
        <v>381043</v>
      </c>
      <c r="H23" s="1">
        <v>286791</v>
      </c>
      <c r="I23" s="1">
        <v>302327</v>
      </c>
      <c r="J23" s="1">
        <v>323662</v>
      </c>
      <c r="K23" s="1">
        <v>257142</v>
      </c>
      <c r="L23" s="1">
        <v>262055</v>
      </c>
      <c r="M23" s="1">
        <v>274487</v>
      </c>
      <c r="N23" s="1">
        <v>121868</v>
      </c>
      <c r="O23" s="1">
        <v>162397</v>
      </c>
      <c r="P23" s="1">
        <v>158581</v>
      </c>
      <c r="Q23" s="1">
        <v>97455.4</v>
      </c>
      <c r="R23" s="1">
        <v>107036</v>
      </c>
      <c r="S23" s="1">
        <v>130914</v>
      </c>
      <c r="T23" s="1">
        <v>415515</v>
      </c>
      <c r="U23" s="1">
        <v>428656</v>
      </c>
      <c r="V23" s="1">
        <v>436083</v>
      </c>
    </row>
    <row r="24" spans="1:25" ht="15" customHeight="1" x14ac:dyDescent="0.2">
      <c r="A24" t="s">
        <v>21</v>
      </c>
      <c r="B24" s="1">
        <v>286655</v>
      </c>
      <c r="C24" s="1">
        <v>271320</v>
      </c>
      <c r="D24" s="1">
        <v>288075</v>
      </c>
      <c r="E24" s="1">
        <v>299577</v>
      </c>
      <c r="F24" s="1">
        <v>319689</v>
      </c>
      <c r="G24" s="1">
        <v>315832</v>
      </c>
      <c r="H24" s="1">
        <v>286201</v>
      </c>
      <c r="I24" s="1">
        <v>273760</v>
      </c>
      <c r="J24" s="1">
        <v>320675</v>
      </c>
      <c r="K24" s="1">
        <v>302115</v>
      </c>
      <c r="L24" s="1">
        <v>304674</v>
      </c>
      <c r="M24" s="1">
        <v>304377</v>
      </c>
      <c r="N24" s="1">
        <v>264098</v>
      </c>
      <c r="O24" s="1">
        <v>245688</v>
      </c>
      <c r="P24" s="1">
        <v>278325</v>
      </c>
      <c r="Q24" s="1">
        <v>261894</v>
      </c>
      <c r="R24" s="1">
        <v>258063</v>
      </c>
      <c r="S24" s="1">
        <v>252515</v>
      </c>
      <c r="T24" s="1">
        <v>345374</v>
      </c>
      <c r="U24" s="1">
        <v>354779</v>
      </c>
      <c r="V24" s="1">
        <v>351715</v>
      </c>
    </row>
    <row r="25" spans="1:25" ht="15" customHeight="1" x14ac:dyDescent="0.2">
      <c r="A25" t="s">
        <v>22</v>
      </c>
    </row>
    <row r="26" spans="1:25" ht="12.75" x14ac:dyDescent="0.2">
      <c r="A26" t="s">
        <v>23</v>
      </c>
    </row>
    <row r="27" spans="1:25" ht="12.75" x14ac:dyDescent="0.2"/>
    <row r="28" spans="1:25" ht="12.75" x14ac:dyDescent="0.2">
      <c r="A28" t="s">
        <v>24</v>
      </c>
      <c r="B28" s="1">
        <v>1</v>
      </c>
      <c r="C28" s="1">
        <v>2</v>
      </c>
      <c r="D28" s="1">
        <v>3</v>
      </c>
      <c r="E28" s="1">
        <v>4</v>
      </c>
      <c r="F28" s="1">
        <v>5</v>
      </c>
      <c r="G28" s="1">
        <v>6</v>
      </c>
      <c r="H28" s="1">
        <v>7</v>
      </c>
      <c r="I28" s="1">
        <v>8</v>
      </c>
      <c r="J28" s="1">
        <v>9</v>
      </c>
      <c r="K28" s="1">
        <v>10</v>
      </c>
      <c r="L28" s="1">
        <v>11</v>
      </c>
      <c r="M28" s="1">
        <v>12</v>
      </c>
      <c r="N28" s="1">
        <v>13</v>
      </c>
      <c r="O28" s="1">
        <v>14</v>
      </c>
      <c r="P28" s="1">
        <v>15</v>
      </c>
      <c r="Q28" s="1">
        <v>16</v>
      </c>
      <c r="R28" s="1">
        <v>17</v>
      </c>
      <c r="S28" s="1">
        <v>18</v>
      </c>
      <c r="T28" s="1">
        <v>19</v>
      </c>
      <c r="U28" s="1">
        <v>20</v>
      </c>
      <c r="V28" s="1">
        <v>21</v>
      </c>
      <c r="W28" s="1">
        <v>22</v>
      </c>
      <c r="X28" s="1">
        <v>23</v>
      </c>
      <c r="Y28" s="1">
        <v>24</v>
      </c>
    </row>
    <row r="29" spans="1:25" ht="12.75" x14ac:dyDescent="0.2">
      <c r="A29" t="s">
        <v>8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 t="s">
        <v>25</v>
      </c>
      <c r="U29" t="s">
        <v>25</v>
      </c>
      <c r="V29" t="s">
        <v>25</v>
      </c>
      <c r="W29" t="s">
        <v>25</v>
      </c>
      <c r="X29" t="s">
        <v>25</v>
      </c>
      <c r="Y29" t="s">
        <v>25</v>
      </c>
    </row>
    <row r="30" spans="1:25" ht="12.75" x14ac:dyDescent="0.2">
      <c r="A30" t="s">
        <v>9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 t="s">
        <v>25</v>
      </c>
      <c r="U30" t="s">
        <v>25</v>
      </c>
      <c r="V30" t="s">
        <v>25</v>
      </c>
      <c r="W30" t="s">
        <v>25</v>
      </c>
      <c r="X30" t="s">
        <v>25</v>
      </c>
      <c r="Y30" t="s">
        <v>25</v>
      </c>
    </row>
    <row r="31" spans="1:25" ht="12.75" x14ac:dyDescent="0.2">
      <c r="A31" t="s">
        <v>10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 t="s">
        <v>25</v>
      </c>
      <c r="U31" t="s">
        <v>25</v>
      </c>
      <c r="V31" t="s">
        <v>25</v>
      </c>
      <c r="W31" t="s">
        <v>25</v>
      </c>
      <c r="X31" t="s">
        <v>25</v>
      </c>
      <c r="Y31" t="s">
        <v>25</v>
      </c>
    </row>
    <row r="32" spans="1:25" ht="12.75" x14ac:dyDescent="0.2">
      <c r="A32" t="s">
        <v>11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 t="s">
        <v>25</v>
      </c>
      <c r="U32" t="s">
        <v>25</v>
      </c>
      <c r="V32" t="s">
        <v>25</v>
      </c>
      <c r="W32" t="s">
        <v>25</v>
      </c>
      <c r="X32" t="s">
        <v>25</v>
      </c>
      <c r="Y32" t="s">
        <v>25</v>
      </c>
    </row>
    <row r="33" spans="1:25" ht="12.75" x14ac:dyDescent="0.2">
      <c r="A33" t="s">
        <v>12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 t="s">
        <v>25</v>
      </c>
      <c r="U33" t="s">
        <v>25</v>
      </c>
      <c r="V33" t="s">
        <v>25</v>
      </c>
      <c r="W33" t="s">
        <v>25</v>
      </c>
      <c r="X33" t="s">
        <v>25</v>
      </c>
      <c r="Y33" t="s">
        <v>25</v>
      </c>
    </row>
    <row r="34" spans="1:25" ht="12.75" x14ac:dyDescent="0.2">
      <c r="A34" t="s">
        <v>13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 t="s">
        <v>25</v>
      </c>
      <c r="U34" t="s">
        <v>25</v>
      </c>
      <c r="V34" t="s">
        <v>25</v>
      </c>
      <c r="W34" t="s">
        <v>25</v>
      </c>
      <c r="X34" t="s">
        <v>25</v>
      </c>
      <c r="Y34" t="s">
        <v>25</v>
      </c>
    </row>
    <row r="35" spans="1:25" ht="12.75" x14ac:dyDescent="0.2">
      <c r="A35" t="s">
        <v>14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 t="s">
        <v>25</v>
      </c>
      <c r="U35" t="s">
        <v>25</v>
      </c>
      <c r="V35" t="s">
        <v>25</v>
      </c>
      <c r="W35" t="s">
        <v>25</v>
      </c>
      <c r="X35" t="s">
        <v>25</v>
      </c>
      <c r="Y35" t="s">
        <v>25</v>
      </c>
    </row>
    <row r="36" spans="1:25" ht="12.75" x14ac:dyDescent="0.2">
      <c r="A36" t="s">
        <v>15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25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25</v>
      </c>
      <c r="T36" t="s">
        <v>25</v>
      </c>
      <c r="U36" t="s">
        <v>25</v>
      </c>
      <c r="V36" t="s">
        <v>25</v>
      </c>
      <c r="W36" t="s">
        <v>25</v>
      </c>
      <c r="X36" t="s">
        <v>25</v>
      </c>
      <c r="Y36" t="s">
        <v>25</v>
      </c>
    </row>
    <row r="37" spans="1:25" ht="12.75" x14ac:dyDescent="0.2">
      <c r="A37" t="s">
        <v>16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25</v>
      </c>
      <c r="Y37" t="s">
        <v>25</v>
      </c>
    </row>
    <row r="38" spans="1:25" ht="12.75" x14ac:dyDescent="0.2">
      <c r="A38" t="s">
        <v>17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</row>
    <row r="39" spans="1:25" ht="12.75" x14ac:dyDescent="0.2">
      <c r="A39" t="s">
        <v>18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</row>
    <row r="40" spans="1:25" ht="12.75" x14ac:dyDescent="0.2">
      <c r="A40" t="s">
        <v>19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25</v>
      </c>
      <c r="L40" t="s">
        <v>25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</row>
    <row r="41" spans="1:25" ht="12.75" x14ac:dyDescent="0.2">
      <c r="A41" t="s">
        <v>20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</row>
    <row r="42" spans="1:25" ht="12.75" x14ac:dyDescent="0.2">
      <c r="A42" t="s">
        <v>21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25</v>
      </c>
      <c r="L42" t="s">
        <v>25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</row>
    <row r="43" spans="1:25" ht="12.75" x14ac:dyDescent="0.2">
      <c r="A43" t="s">
        <v>22</v>
      </c>
    </row>
    <row r="44" spans="1:25" ht="12.75" x14ac:dyDescent="0.2">
      <c r="A44" t="s">
        <v>23</v>
      </c>
    </row>
    <row r="46" spans="1:25" ht="12.75" x14ac:dyDescent="0.2">
      <c r="A46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General information"/>
  <dimension ref="A1:E5"/>
  <sheetViews>
    <sheetView workbookViewId="0"/>
  </sheetViews>
  <sheetFormatPr defaultColWidth="9.140625" defaultRowHeight="15" customHeight="1" x14ac:dyDescent="0.2"/>
  <sheetData>
    <row r="1" spans="1:5" ht="15" customHeight="1" x14ac:dyDescent="0.2">
      <c r="A1" t="s">
        <v>27</v>
      </c>
    </row>
    <row r="3" spans="1:5" ht="15" customHeight="1" x14ac:dyDescent="0.2">
      <c r="B3" t="s">
        <v>28</v>
      </c>
      <c r="E3" t="s">
        <v>29</v>
      </c>
    </row>
    <row r="4" spans="1:5" ht="15" customHeight="1" x14ac:dyDescent="0.2">
      <c r="B4" t="s">
        <v>30</v>
      </c>
      <c r="E4" t="s">
        <v>31</v>
      </c>
    </row>
    <row r="5" spans="1:5" ht="15" customHeight="1" x14ac:dyDescent="0.2">
      <c r="A5" t="s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ession information"/>
  <dimension ref="A1:E7"/>
  <sheetViews>
    <sheetView workbookViewId="0"/>
  </sheetViews>
  <sheetFormatPr defaultColWidth="9.140625" defaultRowHeight="15" customHeight="1" x14ac:dyDescent="0.2"/>
  <cols>
    <col min="1" max="1" width="18.7109375" customWidth="1"/>
    <col min="2" max="2" width="14.42578125" customWidth="1"/>
    <col min="4" max="4" width="2" customWidth="1"/>
    <col min="5" max="5" width="51.42578125" customWidth="1"/>
  </cols>
  <sheetData>
    <row r="1" spans="1:5" ht="15" customHeight="1" x14ac:dyDescent="0.2">
      <c r="A1" t="s">
        <v>32</v>
      </c>
    </row>
    <row r="3" spans="1:5" ht="15" customHeight="1" x14ac:dyDescent="0.2">
      <c r="B3" t="s">
        <v>33</v>
      </c>
      <c r="E3" t="s">
        <v>1</v>
      </c>
    </row>
    <row r="4" spans="1:5" ht="15" customHeight="1" x14ac:dyDescent="0.2">
      <c r="B4" t="s">
        <v>34</v>
      </c>
    </row>
    <row r="5" spans="1:5" ht="15" customHeight="1" x14ac:dyDescent="0.2">
      <c r="B5" t="s">
        <v>35</v>
      </c>
      <c r="E5" t="s">
        <v>36</v>
      </c>
    </row>
    <row r="6" spans="1:5" ht="15" customHeight="1" x14ac:dyDescent="0.2">
      <c r="B6" t="s">
        <v>37</v>
      </c>
      <c r="E6" t="s">
        <v>2</v>
      </c>
    </row>
    <row r="7" spans="1:5" ht="15" customHeight="1" x14ac:dyDescent="0.2">
      <c r="A7" t="s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strument information"/>
  <dimension ref="A1:E19"/>
  <sheetViews>
    <sheetView workbookViewId="0"/>
  </sheetViews>
  <sheetFormatPr defaultColWidth="9.140625" defaultRowHeight="15" customHeight="1" x14ac:dyDescent="0.2"/>
  <cols>
    <col min="1" max="1" width="20.85546875" customWidth="1"/>
    <col min="2" max="2" width="28.7109375" customWidth="1"/>
    <col min="3" max="3" width="21.5703125" customWidth="1"/>
    <col min="4" max="4" width="2" customWidth="1"/>
    <col min="5" max="5" width="32.42578125" customWidth="1"/>
  </cols>
  <sheetData>
    <row r="1" spans="1:5" ht="15" customHeight="1" x14ac:dyDescent="0.2">
      <c r="A1" t="s">
        <v>38</v>
      </c>
    </row>
    <row r="3" spans="1:5" ht="15" customHeight="1" x14ac:dyDescent="0.2">
      <c r="B3" t="s">
        <v>39</v>
      </c>
      <c r="E3" t="s">
        <v>40</v>
      </c>
    </row>
    <row r="4" spans="1:5" ht="15" customHeight="1" x14ac:dyDescent="0.2">
      <c r="B4" t="s">
        <v>41</v>
      </c>
      <c r="E4" t="s">
        <v>42</v>
      </c>
    </row>
    <row r="5" spans="1:5" ht="15" customHeight="1" x14ac:dyDescent="0.2">
      <c r="B5" t="s">
        <v>43</v>
      </c>
      <c r="E5" t="s">
        <v>44</v>
      </c>
    </row>
    <row r="6" spans="1:5" ht="15" customHeight="1" x14ac:dyDescent="0.2">
      <c r="B6" t="s">
        <v>45</v>
      </c>
      <c r="E6" t="s">
        <v>46</v>
      </c>
    </row>
    <row r="8" spans="1:5" ht="15" customHeight="1" x14ac:dyDescent="0.2">
      <c r="B8" t="s">
        <v>47</v>
      </c>
    </row>
    <row r="10" spans="1:5" ht="15" customHeight="1" x14ac:dyDescent="0.2">
      <c r="C10" t="s">
        <v>48</v>
      </c>
      <c r="E10" t="s">
        <v>49</v>
      </c>
    </row>
    <row r="11" spans="1:5" ht="15" customHeight="1" x14ac:dyDescent="0.2">
      <c r="C11" t="s">
        <v>50</v>
      </c>
      <c r="E11" t="s">
        <v>51</v>
      </c>
    </row>
    <row r="12" spans="1:5" ht="15" customHeight="1" x14ac:dyDescent="0.2">
      <c r="C12" t="s">
        <v>52</v>
      </c>
      <c r="E12" t="s">
        <v>53</v>
      </c>
    </row>
    <row r="13" spans="1:5" ht="15" customHeight="1" x14ac:dyDescent="0.2">
      <c r="C13" t="s">
        <v>54</v>
      </c>
      <c r="E13" t="s">
        <v>55</v>
      </c>
    </row>
    <row r="15" spans="1:5" ht="15" customHeight="1" x14ac:dyDescent="0.2">
      <c r="C15" t="s">
        <v>56</v>
      </c>
      <c r="E15" t="s">
        <v>44</v>
      </c>
    </row>
    <row r="16" spans="1:5" ht="15" customHeight="1" x14ac:dyDescent="0.2">
      <c r="C16" t="s">
        <v>57</v>
      </c>
      <c r="E16" t="s">
        <v>58</v>
      </c>
    </row>
    <row r="17" spans="3:5" ht="15" customHeight="1" x14ac:dyDescent="0.2">
      <c r="C17" t="s">
        <v>59</v>
      </c>
      <c r="E17" t="s">
        <v>44</v>
      </c>
    </row>
    <row r="18" spans="3:5" ht="15" customHeight="1" x14ac:dyDescent="0.2">
      <c r="C18" t="s">
        <v>60</v>
      </c>
      <c r="E18" t="s">
        <v>44</v>
      </c>
    </row>
    <row r="19" spans="3:5" ht="15" customHeight="1" x14ac:dyDescent="0.2">
      <c r="C19" t="s">
        <v>61</v>
      </c>
      <c r="E19" t="s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rotocol parameters"/>
  <dimension ref="A1:E13"/>
  <sheetViews>
    <sheetView workbookViewId="0"/>
  </sheetViews>
  <sheetFormatPr defaultColWidth="9.140625" defaultRowHeight="15" customHeight="1" x14ac:dyDescent="0.2"/>
  <cols>
    <col min="1" max="1" width="19.140625" customWidth="1"/>
    <col min="2" max="2" width="28.28515625" customWidth="1"/>
    <col min="4" max="4" width="2" customWidth="1"/>
    <col min="5" max="5" width="10.42578125" customWidth="1"/>
  </cols>
  <sheetData>
    <row r="1" spans="1:5" ht="15" customHeight="1" x14ac:dyDescent="0.2">
      <c r="A1" t="s">
        <v>62</v>
      </c>
    </row>
    <row r="3" spans="1:5" ht="15" customHeight="1" x14ac:dyDescent="0.2">
      <c r="B3" t="s">
        <v>63</v>
      </c>
      <c r="E3" t="s">
        <v>64</v>
      </c>
    </row>
    <row r="4" spans="1:5" ht="15" customHeight="1" x14ac:dyDescent="0.2">
      <c r="B4" t="s">
        <v>65</v>
      </c>
      <c r="E4" t="s">
        <v>44</v>
      </c>
    </row>
    <row r="5" spans="1:5" ht="15" customHeight="1" x14ac:dyDescent="0.2">
      <c r="B5" t="s">
        <v>66</v>
      </c>
      <c r="E5" t="s">
        <v>58</v>
      </c>
    </row>
    <row r="6" spans="1:5" ht="15" customHeight="1" x14ac:dyDescent="0.2">
      <c r="B6" t="s">
        <v>67</v>
      </c>
      <c r="E6" t="s">
        <v>58</v>
      </c>
    </row>
    <row r="8" spans="1:5" ht="15" customHeight="1" x14ac:dyDescent="0.2">
      <c r="A8" t="s">
        <v>4</v>
      </c>
    </row>
    <row r="10" spans="1:5" ht="15" customHeight="1" x14ac:dyDescent="0.2">
      <c r="B10" t="s">
        <v>68</v>
      </c>
      <c r="E10" t="s">
        <v>69</v>
      </c>
    </row>
    <row r="11" spans="1:5" ht="15" customHeight="1" x14ac:dyDescent="0.2">
      <c r="B11" t="s">
        <v>70</v>
      </c>
      <c r="E11" t="s">
        <v>58</v>
      </c>
    </row>
    <row r="12" spans="1:5" ht="15" customHeight="1" x14ac:dyDescent="0.2">
      <c r="B12" t="s">
        <v>71</v>
      </c>
      <c r="E12" t="s">
        <v>72</v>
      </c>
    </row>
    <row r="13" spans="1:5" ht="15" customHeight="1" x14ac:dyDescent="0.2">
      <c r="B13" t="s">
        <v>73</v>
      </c>
      <c r="E13" t="s">
        <v>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Run log"/>
  <dimension ref="A1:E17"/>
  <sheetViews>
    <sheetView workbookViewId="0"/>
  </sheetViews>
  <sheetFormatPr defaultColWidth="9.140625" defaultRowHeight="15" customHeight="1" x14ac:dyDescent="0.2"/>
  <cols>
    <col min="1" max="1" width="8.5703125" customWidth="1"/>
    <col min="2" max="2" width="25.7109375" customWidth="1"/>
    <col min="3" max="3" width="65.140625" customWidth="1"/>
    <col min="4" max="4" width="30.85546875" customWidth="1"/>
  </cols>
  <sheetData>
    <row r="1" spans="1:5" ht="15" customHeight="1" x14ac:dyDescent="0.2">
      <c r="A1" t="s">
        <v>75</v>
      </c>
    </row>
    <row r="3" spans="1:5" ht="15" customHeight="1" x14ac:dyDescent="0.2">
      <c r="B3" s="2" t="s">
        <v>76</v>
      </c>
      <c r="C3" s="2" t="s">
        <v>77</v>
      </c>
      <c r="D3" s="2" t="s">
        <v>78</v>
      </c>
      <c r="E3" s="2"/>
    </row>
    <row r="4" spans="1:5" ht="15" customHeight="1" x14ac:dyDescent="0.2">
      <c r="B4" t="s">
        <v>2</v>
      </c>
      <c r="C4" t="s">
        <v>79</v>
      </c>
    </row>
    <row r="5" spans="1:5" ht="15" customHeight="1" x14ac:dyDescent="0.2">
      <c r="B5" t="s">
        <v>2</v>
      </c>
      <c r="C5" t="s">
        <v>80</v>
      </c>
      <c r="D5" t="s">
        <v>81</v>
      </c>
    </row>
    <row r="6" spans="1:5" ht="15" customHeight="1" x14ac:dyDescent="0.2">
      <c r="B6" t="s">
        <v>2</v>
      </c>
      <c r="C6" t="s">
        <v>82</v>
      </c>
    </row>
    <row r="7" spans="1:5" ht="15" customHeight="1" x14ac:dyDescent="0.2">
      <c r="B7" t="s">
        <v>83</v>
      </c>
      <c r="C7" t="s">
        <v>84</v>
      </c>
      <c r="D7" t="s">
        <v>85</v>
      </c>
    </row>
    <row r="8" spans="1:5" ht="15" customHeight="1" x14ac:dyDescent="0.2">
      <c r="B8" t="s">
        <v>86</v>
      </c>
      <c r="C8" t="s">
        <v>80</v>
      </c>
      <c r="D8" t="s">
        <v>81</v>
      </c>
    </row>
    <row r="9" spans="1:5" ht="15" customHeight="1" x14ac:dyDescent="0.2">
      <c r="B9" t="s">
        <v>87</v>
      </c>
      <c r="C9" t="s">
        <v>80</v>
      </c>
      <c r="D9" t="s">
        <v>81</v>
      </c>
    </row>
    <row r="10" spans="1:5" ht="15" customHeight="1" x14ac:dyDescent="0.2">
      <c r="B10" t="s">
        <v>88</v>
      </c>
      <c r="C10" t="s">
        <v>80</v>
      </c>
      <c r="D10" t="s">
        <v>81</v>
      </c>
    </row>
    <row r="11" spans="1:5" ht="15" customHeight="1" x14ac:dyDescent="0.2">
      <c r="B11" t="s">
        <v>89</v>
      </c>
      <c r="C11" t="s">
        <v>80</v>
      </c>
      <c r="D11" t="s">
        <v>81</v>
      </c>
    </row>
    <row r="12" spans="1:5" ht="15" customHeight="1" x14ac:dyDescent="0.2">
      <c r="B12" t="s">
        <v>90</v>
      </c>
      <c r="C12" t="s">
        <v>80</v>
      </c>
      <c r="D12" t="s">
        <v>81</v>
      </c>
    </row>
    <row r="13" spans="1:5" ht="15" customHeight="1" x14ac:dyDescent="0.2">
      <c r="B13" t="s">
        <v>91</v>
      </c>
      <c r="C13" t="s">
        <v>80</v>
      </c>
      <c r="D13" t="s">
        <v>81</v>
      </c>
    </row>
    <row r="14" spans="1:5" ht="15" customHeight="1" x14ac:dyDescent="0.2">
      <c r="B14" t="s">
        <v>92</v>
      </c>
      <c r="C14" t="s">
        <v>93</v>
      </c>
    </row>
    <row r="15" spans="1:5" ht="15" customHeight="1" x14ac:dyDescent="0.2">
      <c r="B15" t="s">
        <v>92</v>
      </c>
      <c r="C15" t="s">
        <v>80</v>
      </c>
      <c r="D15" t="s">
        <v>81</v>
      </c>
    </row>
    <row r="16" spans="1:5" ht="15" customHeight="1" x14ac:dyDescent="0.2">
      <c r="B16" t="s">
        <v>94</v>
      </c>
      <c r="C16" t="s">
        <v>95</v>
      </c>
    </row>
    <row r="17" spans="1:1" ht="15" customHeight="1" x14ac:dyDescent="0.2">
      <c r="A17" t="s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ayout definitions"/>
  <dimension ref="A1:Y57"/>
  <sheetViews>
    <sheetView workbookViewId="0"/>
  </sheetViews>
  <sheetFormatPr defaultColWidth="9.140625" defaultRowHeight="15" customHeight="1" x14ac:dyDescent="0.2"/>
  <sheetData>
    <row r="1" spans="1:25" ht="15" customHeight="1" x14ac:dyDescent="0.2">
      <c r="A1" t="s">
        <v>39</v>
      </c>
      <c r="B1" t="s">
        <v>6</v>
      </c>
    </row>
    <row r="2" spans="1:25" ht="15" customHeight="1" x14ac:dyDescent="0.2">
      <c r="A2" t="s">
        <v>96</v>
      </c>
      <c r="B2" t="s">
        <v>97</v>
      </c>
    </row>
    <row r="4" spans="1:25" ht="15" customHeight="1" x14ac:dyDescent="0.2">
      <c r="B4" s="3">
        <v>1</v>
      </c>
      <c r="C4" s="3">
        <v>2</v>
      </c>
      <c r="D4" s="3">
        <v>3</v>
      </c>
      <c r="E4" s="3">
        <v>4</v>
      </c>
      <c r="F4" s="3">
        <v>5</v>
      </c>
      <c r="G4" s="3">
        <v>6</v>
      </c>
      <c r="H4" s="3">
        <v>7</v>
      </c>
      <c r="I4" s="3">
        <v>8</v>
      </c>
      <c r="J4" s="3">
        <v>9</v>
      </c>
      <c r="K4" s="3">
        <v>10</v>
      </c>
      <c r="L4" s="3">
        <v>11</v>
      </c>
      <c r="M4" s="3">
        <v>12</v>
      </c>
      <c r="N4" s="3">
        <v>13</v>
      </c>
      <c r="O4" s="3">
        <v>14</v>
      </c>
      <c r="P4" s="3">
        <v>15</v>
      </c>
      <c r="Q4" s="3">
        <v>16</v>
      </c>
      <c r="R4" s="3">
        <v>17</v>
      </c>
      <c r="S4" s="3">
        <v>18</v>
      </c>
      <c r="T4" s="3">
        <v>19</v>
      </c>
      <c r="U4" s="3">
        <v>20</v>
      </c>
      <c r="V4" s="3">
        <v>21</v>
      </c>
      <c r="W4" s="3">
        <v>22</v>
      </c>
      <c r="X4" s="3">
        <v>23</v>
      </c>
      <c r="Y4" s="3">
        <v>24</v>
      </c>
    </row>
    <row r="5" spans="1:25" ht="15" customHeight="1" x14ac:dyDescent="0.2">
      <c r="A5" s="25" t="s">
        <v>8</v>
      </c>
      <c r="B5" s="4" t="s">
        <v>25</v>
      </c>
      <c r="C5" s="4" t="s">
        <v>25</v>
      </c>
      <c r="D5" s="4" t="s">
        <v>25</v>
      </c>
      <c r="E5" s="4" t="s">
        <v>25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4" t="s">
        <v>25</v>
      </c>
      <c r="S5" s="4" t="s">
        <v>25</v>
      </c>
      <c r="T5" s="4" t="s">
        <v>25</v>
      </c>
      <c r="U5" s="4" t="s">
        <v>25</v>
      </c>
      <c r="V5" s="4" t="s">
        <v>25</v>
      </c>
      <c r="W5" s="4" t="s">
        <v>25</v>
      </c>
      <c r="X5" s="4" t="s">
        <v>25</v>
      </c>
      <c r="Y5" s="4" t="s">
        <v>25</v>
      </c>
    </row>
    <row r="6" spans="1:25" ht="15" customHeight="1" x14ac:dyDescent="0.2">
      <c r="A6" s="24"/>
      <c r="B6" s="5" t="s">
        <v>98</v>
      </c>
      <c r="C6" s="5" t="s">
        <v>98</v>
      </c>
      <c r="D6" s="5" t="s">
        <v>98</v>
      </c>
      <c r="E6" s="5" t="s">
        <v>98</v>
      </c>
      <c r="F6" s="5" t="s">
        <v>98</v>
      </c>
      <c r="G6" s="5" t="s">
        <v>98</v>
      </c>
      <c r="H6" s="5" t="s">
        <v>98</v>
      </c>
      <c r="I6" s="5" t="s">
        <v>98</v>
      </c>
      <c r="J6" s="5" t="s">
        <v>98</v>
      </c>
      <c r="K6" s="5" t="s">
        <v>98</v>
      </c>
      <c r="L6" s="5" t="s">
        <v>98</v>
      </c>
      <c r="M6" s="5" t="s">
        <v>98</v>
      </c>
      <c r="N6" s="5" t="s">
        <v>98</v>
      </c>
      <c r="O6" s="5" t="s">
        <v>98</v>
      </c>
      <c r="P6" s="5" t="s">
        <v>98</v>
      </c>
      <c r="Q6" s="5" t="s">
        <v>98</v>
      </c>
      <c r="R6" s="5" t="s">
        <v>98</v>
      </c>
      <c r="S6" s="5" t="s">
        <v>98</v>
      </c>
      <c r="T6" s="5" t="s">
        <v>98</v>
      </c>
      <c r="U6" s="5" t="s">
        <v>98</v>
      </c>
      <c r="V6" s="5" t="s">
        <v>98</v>
      </c>
      <c r="W6" s="5" t="s">
        <v>98</v>
      </c>
      <c r="X6" s="5" t="s">
        <v>98</v>
      </c>
      <c r="Y6" s="5" t="s">
        <v>98</v>
      </c>
    </row>
    <row r="7" spans="1:25" ht="15" customHeight="1" x14ac:dyDescent="0.2">
      <c r="A7" s="24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1:25" ht="15" customHeight="1" x14ac:dyDescent="0.2">
      <c r="A8" s="25" t="s">
        <v>9</v>
      </c>
      <c r="B8" s="4" t="s">
        <v>25</v>
      </c>
      <c r="C8" s="4" t="s">
        <v>25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  <c r="U8" s="4" t="s">
        <v>25</v>
      </c>
      <c r="V8" s="4" t="s">
        <v>25</v>
      </c>
      <c r="W8" s="4" t="s">
        <v>25</v>
      </c>
      <c r="X8" s="4" t="s">
        <v>25</v>
      </c>
      <c r="Y8" s="4" t="s">
        <v>25</v>
      </c>
    </row>
    <row r="9" spans="1:25" ht="15" customHeight="1" x14ac:dyDescent="0.2">
      <c r="A9" s="24"/>
      <c r="B9" s="5" t="s">
        <v>98</v>
      </c>
      <c r="C9" s="5" t="s">
        <v>98</v>
      </c>
      <c r="D9" s="5" t="s">
        <v>98</v>
      </c>
      <c r="E9" s="5" t="s">
        <v>98</v>
      </c>
      <c r="F9" s="5" t="s">
        <v>98</v>
      </c>
      <c r="G9" s="5" t="s">
        <v>98</v>
      </c>
      <c r="H9" s="5" t="s">
        <v>98</v>
      </c>
      <c r="I9" s="5" t="s">
        <v>98</v>
      </c>
      <c r="J9" s="5" t="s">
        <v>98</v>
      </c>
      <c r="K9" s="5" t="s">
        <v>98</v>
      </c>
      <c r="L9" s="5" t="s">
        <v>98</v>
      </c>
      <c r="M9" s="5" t="s">
        <v>98</v>
      </c>
      <c r="N9" s="5" t="s">
        <v>98</v>
      </c>
      <c r="O9" s="5" t="s">
        <v>98</v>
      </c>
      <c r="P9" s="5" t="s">
        <v>98</v>
      </c>
      <c r="Q9" s="5" t="s">
        <v>98</v>
      </c>
      <c r="R9" s="5" t="s">
        <v>98</v>
      </c>
      <c r="S9" s="5" t="s">
        <v>98</v>
      </c>
      <c r="T9" s="5" t="s">
        <v>98</v>
      </c>
      <c r="U9" s="5" t="s">
        <v>98</v>
      </c>
      <c r="V9" s="5" t="s">
        <v>98</v>
      </c>
      <c r="W9" s="5" t="s">
        <v>98</v>
      </c>
      <c r="X9" s="5" t="s">
        <v>98</v>
      </c>
      <c r="Y9" s="5" t="s">
        <v>98</v>
      </c>
    </row>
    <row r="10" spans="1:25" ht="15" customHeight="1" x14ac:dyDescent="0.2">
      <c r="A10" s="24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spans="1:25" ht="15" customHeight="1" x14ac:dyDescent="0.2">
      <c r="A11" s="25" t="s">
        <v>10</v>
      </c>
      <c r="B11" s="4" t="s">
        <v>25</v>
      </c>
      <c r="C11" s="4" t="s">
        <v>25</v>
      </c>
      <c r="D11" s="4" t="s">
        <v>25</v>
      </c>
      <c r="E11" s="4" t="s">
        <v>25</v>
      </c>
      <c r="F11" s="4" t="s">
        <v>25</v>
      </c>
      <c r="G11" s="4" t="s">
        <v>25</v>
      </c>
      <c r="H11" s="4" t="s">
        <v>25</v>
      </c>
      <c r="I11" s="4" t="s">
        <v>25</v>
      </c>
      <c r="J11" s="4" t="s">
        <v>25</v>
      </c>
      <c r="K11" s="4" t="s">
        <v>25</v>
      </c>
      <c r="L11" s="4" t="s">
        <v>25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4" t="s">
        <v>25</v>
      </c>
      <c r="S11" s="4" t="s">
        <v>25</v>
      </c>
      <c r="T11" s="4" t="s">
        <v>25</v>
      </c>
      <c r="U11" s="4" t="s">
        <v>25</v>
      </c>
      <c r="V11" s="4" t="s">
        <v>25</v>
      </c>
      <c r="W11" s="4" t="s">
        <v>25</v>
      </c>
      <c r="X11" s="4" t="s">
        <v>25</v>
      </c>
      <c r="Y11" s="4" t="s">
        <v>25</v>
      </c>
    </row>
    <row r="12" spans="1:25" ht="15" customHeight="1" x14ac:dyDescent="0.2">
      <c r="A12" s="24"/>
      <c r="B12" s="5" t="s">
        <v>98</v>
      </c>
      <c r="C12" s="5" t="s">
        <v>98</v>
      </c>
      <c r="D12" s="5" t="s">
        <v>98</v>
      </c>
      <c r="E12" s="5" t="s">
        <v>98</v>
      </c>
      <c r="F12" s="5" t="s">
        <v>98</v>
      </c>
      <c r="G12" s="5" t="s">
        <v>98</v>
      </c>
      <c r="H12" s="5" t="s">
        <v>98</v>
      </c>
      <c r="I12" s="5" t="s">
        <v>98</v>
      </c>
      <c r="J12" s="5" t="s">
        <v>98</v>
      </c>
      <c r="K12" s="5" t="s">
        <v>98</v>
      </c>
      <c r="L12" s="5" t="s">
        <v>98</v>
      </c>
      <c r="M12" s="5" t="s">
        <v>98</v>
      </c>
      <c r="N12" s="5" t="s">
        <v>98</v>
      </c>
      <c r="O12" s="5" t="s">
        <v>98</v>
      </c>
      <c r="P12" s="5" t="s">
        <v>98</v>
      </c>
      <c r="Q12" s="5" t="s">
        <v>98</v>
      </c>
      <c r="R12" s="5" t="s">
        <v>98</v>
      </c>
      <c r="S12" s="5" t="s">
        <v>98</v>
      </c>
      <c r="T12" s="5" t="s">
        <v>98</v>
      </c>
      <c r="U12" s="5" t="s">
        <v>98</v>
      </c>
      <c r="V12" s="5" t="s">
        <v>98</v>
      </c>
      <c r="W12" s="5" t="s">
        <v>98</v>
      </c>
      <c r="X12" s="5" t="s">
        <v>98</v>
      </c>
      <c r="Y12" s="5" t="s">
        <v>98</v>
      </c>
    </row>
    <row r="13" spans="1:25" ht="15" customHeight="1" x14ac:dyDescent="0.2">
      <c r="A13" s="24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15" customHeight="1" x14ac:dyDescent="0.2">
      <c r="A14" s="25" t="s">
        <v>11</v>
      </c>
      <c r="B14" s="4" t="s">
        <v>25</v>
      </c>
      <c r="C14" s="4" t="s">
        <v>25</v>
      </c>
      <c r="D14" s="4" t="s">
        <v>25</v>
      </c>
      <c r="E14" s="4" t="s">
        <v>25</v>
      </c>
      <c r="F14" s="4" t="s">
        <v>25</v>
      </c>
      <c r="G14" s="4" t="s">
        <v>25</v>
      </c>
      <c r="H14" s="4" t="s">
        <v>25</v>
      </c>
      <c r="I14" s="4" t="s">
        <v>25</v>
      </c>
      <c r="J14" s="4" t="s">
        <v>25</v>
      </c>
      <c r="K14" s="4" t="s">
        <v>25</v>
      </c>
      <c r="L14" s="4" t="s">
        <v>25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4" t="s">
        <v>25</v>
      </c>
      <c r="S14" s="4" t="s">
        <v>25</v>
      </c>
      <c r="T14" s="4" t="s">
        <v>25</v>
      </c>
      <c r="U14" s="4" t="s">
        <v>25</v>
      </c>
      <c r="V14" s="4" t="s">
        <v>25</v>
      </c>
      <c r="W14" s="4" t="s">
        <v>25</v>
      </c>
      <c r="X14" s="4" t="s">
        <v>25</v>
      </c>
      <c r="Y14" s="4" t="s">
        <v>25</v>
      </c>
    </row>
    <row r="15" spans="1:25" ht="15" customHeight="1" x14ac:dyDescent="0.2">
      <c r="A15" s="24"/>
      <c r="B15" s="5" t="s">
        <v>98</v>
      </c>
      <c r="C15" s="5" t="s">
        <v>98</v>
      </c>
      <c r="D15" s="5" t="s">
        <v>98</v>
      </c>
      <c r="E15" s="5" t="s">
        <v>98</v>
      </c>
      <c r="F15" s="5" t="s">
        <v>98</v>
      </c>
      <c r="G15" s="5" t="s">
        <v>98</v>
      </c>
      <c r="H15" s="5" t="s">
        <v>98</v>
      </c>
      <c r="I15" s="5" t="s">
        <v>98</v>
      </c>
      <c r="J15" s="5" t="s">
        <v>98</v>
      </c>
      <c r="K15" s="5" t="s">
        <v>98</v>
      </c>
      <c r="L15" s="5" t="s">
        <v>98</v>
      </c>
      <c r="M15" s="5" t="s">
        <v>98</v>
      </c>
      <c r="N15" s="5" t="s">
        <v>98</v>
      </c>
      <c r="O15" s="5" t="s">
        <v>98</v>
      </c>
      <c r="P15" s="5" t="s">
        <v>98</v>
      </c>
      <c r="Q15" s="5" t="s">
        <v>98</v>
      </c>
      <c r="R15" s="5" t="s">
        <v>98</v>
      </c>
      <c r="S15" s="5" t="s">
        <v>98</v>
      </c>
      <c r="T15" s="5" t="s">
        <v>98</v>
      </c>
      <c r="U15" s="5" t="s">
        <v>98</v>
      </c>
      <c r="V15" s="5" t="s">
        <v>98</v>
      </c>
      <c r="W15" s="5" t="s">
        <v>98</v>
      </c>
      <c r="X15" s="5" t="s">
        <v>98</v>
      </c>
      <c r="Y15" s="5" t="s">
        <v>98</v>
      </c>
    </row>
    <row r="16" spans="1:25" ht="15" customHeight="1" x14ac:dyDescent="0.2">
      <c r="A16" s="24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spans="1:25" ht="15" customHeight="1" x14ac:dyDescent="0.2">
      <c r="A17" s="25" t="s">
        <v>12</v>
      </c>
      <c r="B17" s="4" t="s">
        <v>25</v>
      </c>
      <c r="C17" s="4" t="s">
        <v>25</v>
      </c>
      <c r="D17" s="4" t="s">
        <v>25</v>
      </c>
      <c r="E17" s="4" t="s">
        <v>25</v>
      </c>
      <c r="F17" s="4" t="s">
        <v>25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4" t="s">
        <v>25</v>
      </c>
      <c r="M17" s="4" t="s">
        <v>25</v>
      </c>
      <c r="N17" s="4" t="s">
        <v>25</v>
      </c>
      <c r="O17" s="4" t="s">
        <v>25</v>
      </c>
      <c r="P17" s="4" t="s">
        <v>25</v>
      </c>
      <c r="Q17" s="4" t="s">
        <v>25</v>
      </c>
      <c r="R17" s="4" t="s">
        <v>25</v>
      </c>
      <c r="S17" s="4" t="s">
        <v>25</v>
      </c>
      <c r="T17" s="4" t="s">
        <v>25</v>
      </c>
      <c r="U17" s="4" t="s">
        <v>25</v>
      </c>
      <c r="V17" s="4" t="s">
        <v>25</v>
      </c>
      <c r="W17" s="4" t="s">
        <v>25</v>
      </c>
      <c r="X17" s="4" t="s">
        <v>25</v>
      </c>
      <c r="Y17" s="4" t="s">
        <v>25</v>
      </c>
    </row>
    <row r="18" spans="1:25" ht="15" customHeight="1" x14ac:dyDescent="0.2">
      <c r="A18" s="24"/>
      <c r="B18" s="5" t="s">
        <v>98</v>
      </c>
      <c r="C18" s="5" t="s">
        <v>98</v>
      </c>
      <c r="D18" s="5" t="s">
        <v>98</v>
      </c>
      <c r="E18" s="5" t="s">
        <v>98</v>
      </c>
      <c r="F18" s="5" t="s">
        <v>98</v>
      </c>
      <c r="G18" s="5" t="s">
        <v>98</v>
      </c>
      <c r="H18" s="5" t="s">
        <v>98</v>
      </c>
      <c r="I18" s="5" t="s">
        <v>98</v>
      </c>
      <c r="J18" s="5" t="s">
        <v>98</v>
      </c>
      <c r="K18" s="5" t="s">
        <v>98</v>
      </c>
      <c r="L18" s="5" t="s">
        <v>98</v>
      </c>
      <c r="M18" s="5" t="s">
        <v>98</v>
      </c>
      <c r="N18" s="5" t="s">
        <v>98</v>
      </c>
      <c r="O18" s="5" t="s">
        <v>98</v>
      </c>
      <c r="P18" s="5" t="s">
        <v>98</v>
      </c>
      <c r="Q18" s="5" t="s">
        <v>98</v>
      </c>
      <c r="R18" s="5" t="s">
        <v>98</v>
      </c>
      <c r="S18" s="5" t="s">
        <v>98</v>
      </c>
      <c r="T18" s="5" t="s">
        <v>98</v>
      </c>
      <c r="U18" s="5" t="s">
        <v>98</v>
      </c>
      <c r="V18" s="5" t="s">
        <v>98</v>
      </c>
      <c r="W18" s="5" t="s">
        <v>98</v>
      </c>
      <c r="X18" s="5" t="s">
        <v>98</v>
      </c>
      <c r="Y18" s="5" t="s">
        <v>98</v>
      </c>
    </row>
    <row r="19" spans="1:25" ht="15" customHeight="1" x14ac:dyDescent="0.2">
      <c r="A19" s="24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spans="1:25" ht="15" customHeight="1" x14ac:dyDescent="0.2">
      <c r="A20" s="25" t="s">
        <v>13</v>
      </c>
      <c r="B20" s="4" t="s">
        <v>25</v>
      </c>
      <c r="C20" s="4" t="s">
        <v>25</v>
      </c>
      <c r="D20" s="4" t="s">
        <v>25</v>
      </c>
      <c r="E20" s="4" t="s">
        <v>25</v>
      </c>
      <c r="F20" s="4" t="s">
        <v>25</v>
      </c>
      <c r="G20" s="4" t="s">
        <v>25</v>
      </c>
      <c r="H20" s="4" t="s">
        <v>25</v>
      </c>
      <c r="I20" s="4" t="s">
        <v>25</v>
      </c>
      <c r="J20" s="4" t="s">
        <v>25</v>
      </c>
      <c r="K20" s="4" t="s">
        <v>25</v>
      </c>
      <c r="L20" s="4" t="s">
        <v>25</v>
      </c>
      <c r="M20" s="4" t="s">
        <v>25</v>
      </c>
      <c r="N20" s="4" t="s">
        <v>25</v>
      </c>
      <c r="O20" s="4" t="s">
        <v>25</v>
      </c>
      <c r="P20" s="4" t="s">
        <v>25</v>
      </c>
      <c r="Q20" s="4" t="s">
        <v>25</v>
      </c>
      <c r="R20" s="4" t="s">
        <v>25</v>
      </c>
      <c r="S20" s="4" t="s">
        <v>25</v>
      </c>
      <c r="T20" s="4" t="s">
        <v>25</v>
      </c>
      <c r="U20" s="4" t="s">
        <v>25</v>
      </c>
      <c r="V20" s="4" t="s">
        <v>25</v>
      </c>
      <c r="W20" s="4" t="s">
        <v>25</v>
      </c>
      <c r="X20" s="4" t="s">
        <v>25</v>
      </c>
      <c r="Y20" s="4" t="s">
        <v>25</v>
      </c>
    </row>
    <row r="21" spans="1:25" ht="15" customHeight="1" x14ac:dyDescent="0.2">
      <c r="A21" s="24"/>
      <c r="B21" s="5" t="s">
        <v>98</v>
      </c>
      <c r="C21" s="5" t="s">
        <v>98</v>
      </c>
      <c r="D21" s="5" t="s">
        <v>98</v>
      </c>
      <c r="E21" s="5" t="s">
        <v>98</v>
      </c>
      <c r="F21" s="5" t="s">
        <v>98</v>
      </c>
      <c r="G21" s="5" t="s">
        <v>98</v>
      </c>
      <c r="H21" s="5" t="s">
        <v>98</v>
      </c>
      <c r="I21" s="5" t="s">
        <v>98</v>
      </c>
      <c r="J21" s="5" t="s">
        <v>98</v>
      </c>
      <c r="K21" s="5" t="s">
        <v>98</v>
      </c>
      <c r="L21" s="5" t="s">
        <v>98</v>
      </c>
      <c r="M21" s="5" t="s">
        <v>98</v>
      </c>
      <c r="N21" s="5" t="s">
        <v>98</v>
      </c>
      <c r="O21" s="5" t="s">
        <v>98</v>
      </c>
      <c r="P21" s="5" t="s">
        <v>98</v>
      </c>
      <c r="Q21" s="5" t="s">
        <v>98</v>
      </c>
      <c r="R21" s="5" t="s">
        <v>98</v>
      </c>
      <c r="S21" s="5" t="s">
        <v>98</v>
      </c>
      <c r="T21" s="5" t="s">
        <v>98</v>
      </c>
      <c r="U21" s="5" t="s">
        <v>98</v>
      </c>
      <c r="V21" s="5" t="s">
        <v>98</v>
      </c>
      <c r="W21" s="5" t="s">
        <v>98</v>
      </c>
      <c r="X21" s="5" t="s">
        <v>98</v>
      </c>
      <c r="Y21" s="5" t="s">
        <v>98</v>
      </c>
    </row>
    <row r="22" spans="1:25" ht="15" customHeight="1" x14ac:dyDescent="0.2">
      <c r="A22" s="24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spans="1:25" ht="15" customHeight="1" x14ac:dyDescent="0.2">
      <c r="A23" s="25" t="s">
        <v>14</v>
      </c>
      <c r="B23" s="4" t="s">
        <v>25</v>
      </c>
      <c r="C23" s="4" t="s">
        <v>25</v>
      </c>
      <c r="D23" s="4" t="s">
        <v>25</v>
      </c>
      <c r="E23" s="4" t="s">
        <v>25</v>
      </c>
      <c r="F23" s="4" t="s">
        <v>25</v>
      </c>
      <c r="G23" s="4" t="s">
        <v>25</v>
      </c>
      <c r="H23" s="4" t="s">
        <v>25</v>
      </c>
      <c r="I23" s="4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4" t="s">
        <v>25</v>
      </c>
      <c r="S23" s="4" t="s">
        <v>25</v>
      </c>
      <c r="T23" s="4" t="s">
        <v>25</v>
      </c>
      <c r="U23" s="4" t="s">
        <v>25</v>
      </c>
      <c r="V23" s="4" t="s">
        <v>25</v>
      </c>
      <c r="W23" s="4" t="s">
        <v>25</v>
      </c>
      <c r="X23" s="4" t="s">
        <v>25</v>
      </c>
      <c r="Y23" s="4" t="s">
        <v>25</v>
      </c>
    </row>
    <row r="24" spans="1:25" ht="15" customHeight="1" x14ac:dyDescent="0.2">
      <c r="A24" s="24"/>
      <c r="B24" s="5" t="s">
        <v>98</v>
      </c>
      <c r="C24" s="5" t="s">
        <v>98</v>
      </c>
      <c r="D24" s="5" t="s">
        <v>98</v>
      </c>
      <c r="E24" s="5" t="s">
        <v>98</v>
      </c>
      <c r="F24" s="5" t="s">
        <v>98</v>
      </c>
      <c r="G24" s="5" t="s">
        <v>98</v>
      </c>
      <c r="H24" s="5" t="s">
        <v>98</v>
      </c>
      <c r="I24" s="5" t="s">
        <v>98</v>
      </c>
      <c r="J24" s="5" t="s">
        <v>98</v>
      </c>
      <c r="K24" s="5" t="s">
        <v>98</v>
      </c>
      <c r="L24" s="5" t="s">
        <v>98</v>
      </c>
      <c r="M24" s="5" t="s">
        <v>98</v>
      </c>
      <c r="N24" s="5" t="s">
        <v>98</v>
      </c>
      <c r="O24" s="5" t="s">
        <v>98</v>
      </c>
      <c r="P24" s="5" t="s">
        <v>98</v>
      </c>
      <c r="Q24" s="5" t="s">
        <v>98</v>
      </c>
      <c r="R24" s="5" t="s">
        <v>98</v>
      </c>
      <c r="S24" s="5" t="s">
        <v>98</v>
      </c>
      <c r="T24" s="5" t="s">
        <v>98</v>
      </c>
      <c r="U24" s="5" t="s">
        <v>98</v>
      </c>
      <c r="V24" s="5" t="s">
        <v>98</v>
      </c>
      <c r="W24" s="5" t="s">
        <v>98</v>
      </c>
      <c r="X24" s="5" t="s">
        <v>98</v>
      </c>
      <c r="Y24" s="5" t="s">
        <v>98</v>
      </c>
    </row>
    <row r="25" spans="1:25" ht="15" customHeight="1" x14ac:dyDescent="0.2">
      <c r="A25" s="24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spans="1:25" ht="12.75" x14ac:dyDescent="0.2">
      <c r="A26" s="25" t="s">
        <v>15</v>
      </c>
      <c r="B26" s="4" t="s">
        <v>25</v>
      </c>
      <c r="C26" s="4" t="s">
        <v>25</v>
      </c>
      <c r="D26" s="4" t="s">
        <v>25</v>
      </c>
      <c r="E26" s="4" t="s">
        <v>25</v>
      </c>
      <c r="F26" s="4" t="s">
        <v>25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4" t="s">
        <v>25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4" t="s">
        <v>25</v>
      </c>
      <c r="S26" s="4" t="s">
        <v>25</v>
      </c>
      <c r="T26" s="4" t="s">
        <v>25</v>
      </c>
      <c r="U26" s="4" t="s">
        <v>25</v>
      </c>
      <c r="V26" s="4" t="s">
        <v>25</v>
      </c>
      <c r="W26" s="4" t="s">
        <v>25</v>
      </c>
      <c r="X26" s="4" t="s">
        <v>25</v>
      </c>
      <c r="Y26" s="4" t="s">
        <v>25</v>
      </c>
    </row>
    <row r="27" spans="1:25" ht="12.75" x14ac:dyDescent="0.2">
      <c r="A27" s="24"/>
      <c r="B27" s="5" t="s">
        <v>98</v>
      </c>
      <c r="C27" s="5" t="s">
        <v>98</v>
      </c>
      <c r="D27" s="5" t="s">
        <v>98</v>
      </c>
      <c r="E27" s="5" t="s">
        <v>98</v>
      </c>
      <c r="F27" s="5" t="s">
        <v>98</v>
      </c>
      <c r="G27" s="5" t="s">
        <v>98</v>
      </c>
      <c r="H27" s="5" t="s">
        <v>98</v>
      </c>
      <c r="I27" s="5" t="s">
        <v>98</v>
      </c>
      <c r="J27" s="5" t="s">
        <v>98</v>
      </c>
      <c r="K27" s="5" t="s">
        <v>98</v>
      </c>
      <c r="L27" s="5" t="s">
        <v>98</v>
      </c>
      <c r="M27" s="5" t="s">
        <v>98</v>
      </c>
      <c r="N27" s="5" t="s">
        <v>98</v>
      </c>
      <c r="O27" s="5" t="s">
        <v>98</v>
      </c>
      <c r="P27" s="5" t="s">
        <v>98</v>
      </c>
      <c r="Q27" s="5" t="s">
        <v>98</v>
      </c>
      <c r="R27" s="5" t="s">
        <v>98</v>
      </c>
      <c r="S27" s="5" t="s">
        <v>98</v>
      </c>
      <c r="T27" s="5" t="s">
        <v>98</v>
      </c>
      <c r="U27" s="5" t="s">
        <v>98</v>
      </c>
      <c r="V27" s="5" t="s">
        <v>98</v>
      </c>
      <c r="W27" s="5" t="s">
        <v>98</v>
      </c>
      <c r="X27" s="5" t="s">
        <v>98</v>
      </c>
      <c r="Y27" s="5" t="s">
        <v>98</v>
      </c>
    </row>
    <row r="28" spans="1:25" ht="12.75" x14ac:dyDescent="0.2">
      <c r="A28" s="24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spans="1:25" ht="12.75" x14ac:dyDescent="0.2">
      <c r="A29" s="25" t="s">
        <v>16</v>
      </c>
      <c r="B29" s="4" t="s">
        <v>25</v>
      </c>
      <c r="C29" s="4" t="s">
        <v>25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4" t="s">
        <v>25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4" t="s">
        <v>25</v>
      </c>
      <c r="S29" s="4" t="s">
        <v>25</v>
      </c>
      <c r="T29" s="4" t="s">
        <v>25</v>
      </c>
      <c r="U29" s="4" t="s">
        <v>25</v>
      </c>
      <c r="V29" s="4" t="s">
        <v>25</v>
      </c>
      <c r="W29" s="4" t="s">
        <v>25</v>
      </c>
      <c r="X29" s="4" t="s">
        <v>25</v>
      </c>
      <c r="Y29" s="4" t="s">
        <v>25</v>
      </c>
    </row>
    <row r="30" spans="1:25" ht="12.75" x14ac:dyDescent="0.2">
      <c r="A30" s="24"/>
      <c r="B30" s="5" t="s">
        <v>98</v>
      </c>
      <c r="C30" s="5" t="s">
        <v>98</v>
      </c>
      <c r="D30" s="5" t="s">
        <v>98</v>
      </c>
      <c r="E30" s="5" t="s">
        <v>98</v>
      </c>
      <c r="F30" s="5" t="s">
        <v>98</v>
      </c>
      <c r="G30" s="5" t="s">
        <v>98</v>
      </c>
      <c r="H30" s="5" t="s">
        <v>98</v>
      </c>
      <c r="I30" s="5" t="s">
        <v>98</v>
      </c>
      <c r="J30" s="5" t="s">
        <v>98</v>
      </c>
      <c r="K30" s="5" t="s">
        <v>98</v>
      </c>
      <c r="L30" s="5" t="s">
        <v>98</v>
      </c>
      <c r="M30" s="5" t="s">
        <v>98</v>
      </c>
      <c r="N30" s="5" t="s">
        <v>98</v>
      </c>
      <c r="O30" s="5" t="s">
        <v>98</v>
      </c>
      <c r="P30" s="5" t="s">
        <v>98</v>
      </c>
      <c r="Q30" s="5" t="s">
        <v>98</v>
      </c>
      <c r="R30" s="5" t="s">
        <v>98</v>
      </c>
      <c r="S30" s="5" t="s">
        <v>98</v>
      </c>
      <c r="T30" s="5" t="s">
        <v>98</v>
      </c>
      <c r="U30" s="5" t="s">
        <v>98</v>
      </c>
      <c r="V30" s="5" t="s">
        <v>98</v>
      </c>
      <c r="W30" s="5" t="s">
        <v>98</v>
      </c>
      <c r="X30" s="5" t="s">
        <v>98</v>
      </c>
      <c r="Y30" s="5" t="s">
        <v>98</v>
      </c>
    </row>
    <row r="31" spans="1:25" ht="12.75" x14ac:dyDescent="0.2">
      <c r="A31" s="24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spans="1:25" ht="12.75" x14ac:dyDescent="0.2">
      <c r="A32" s="25" t="s">
        <v>17</v>
      </c>
      <c r="B32" s="4" t="s">
        <v>25</v>
      </c>
      <c r="C32" s="4" t="s">
        <v>25</v>
      </c>
      <c r="D32" s="4" t="s">
        <v>25</v>
      </c>
      <c r="E32" s="4" t="s">
        <v>25</v>
      </c>
      <c r="F32" s="4" t="s">
        <v>25</v>
      </c>
      <c r="G32" s="4" t="s">
        <v>25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4" t="s">
        <v>25</v>
      </c>
      <c r="S32" s="4" t="s">
        <v>25</v>
      </c>
      <c r="T32" s="4" t="s">
        <v>25</v>
      </c>
      <c r="U32" s="4" t="s">
        <v>25</v>
      </c>
      <c r="V32" s="4" t="s">
        <v>25</v>
      </c>
      <c r="W32" s="24"/>
      <c r="X32" s="24"/>
      <c r="Y32" s="24"/>
    </row>
    <row r="33" spans="1:25" ht="12.75" x14ac:dyDescent="0.2">
      <c r="A33" s="24"/>
      <c r="B33" s="5" t="s">
        <v>98</v>
      </c>
      <c r="C33" s="5" t="s">
        <v>98</v>
      </c>
      <c r="D33" s="5" t="s">
        <v>98</v>
      </c>
      <c r="E33" s="5" t="s">
        <v>98</v>
      </c>
      <c r="F33" s="5" t="s">
        <v>98</v>
      </c>
      <c r="G33" s="5" t="s">
        <v>98</v>
      </c>
      <c r="H33" s="5" t="s">
        <v>98</v>
      </c>
      <c r="I33" s="5" t="s">
        <v>98</v>
      </c>
      <c r="J33" s="5" t="s">
        <v>98</v>
      </c>
      <c r="K33" s="5" t="s">
        <v>98</v>
      </c>
      <c r="L33" s="5" t="s">
        <v>98</v>
      </c>
      <c r="M33" s="5" t="s">
        <v>98</v>
      </c>
      <c r="N33" s="5" t="s">
        <v>98</v>
      </c>
      <c r="O33" s="5" t="s">
        <v>98</v>
      </c>
      <c r="P33" s="5" t="s">
        <v>98</v>
      </c>
      <c r="Q33" s="5" t="s">
        <v>98</v>
      </c>
      <c r="R33" s="5" t="s">
        <v>98</v>
      </c>
      <c r="S33" s="5" t="s">
        <v>98</v>
      </c>
      <c r="T33" s="5" t="s">
        <v>98</v>
      </c>
      <c r="U33" s="5" t="s">
        <v>98</v>
      </c>
      <c r="V33" s="5" t="s">
        <v>98</v>
      </c>
      <c r="W33" s="24"/>
      <c r="X33" s="24"/>
      <c r="Y33" s="24"/>
    </row>
    <row r="34" spans="1:25" ht="12.75" x14ac:dyDescent="0.2">
      <c r="A34" s="24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4"/>
      <c r="X34" s="24"/>
      <c r="Y34" s="24"/>
    </row>
    <row r="35" spans="1:25" ht="12.75" x14ac:dyDescent="0.2">
      <c r="A35" s="25" t="s">
        <v>18</v>
      </c>
      <c r="B35" s="4" t="s">
        <v>25</v>
      </c>
      <c r="C35" s="4" t="s">
        <v>25</v>
      </c>
      <c r="D35" s="4" t="s">
        <v>25</v>
      </c>
      <c r="E35" s="4" t="s">
        <v>25</v>
      </c>
      <c r="F35" s="4" t="s">
        <v>25</v>
      </c>
      <c r="G35" s="4" t="s">
        <v>25</v>
      </c>
      <c r="H35" s="4" t="s">
        <v>25</v>
      </c>
      <c r="I35" s="4" t="s">
        <v>25</v>
      </c>
      <c r="J35" s="4" t="s">
        <v>25</v>
      </c>
      <c r="K35" s="4" t="s">
        <v>25</v>
      </c>
      <c r="L35" s="4" t="s">
        <v>25</v>
      </c>
      <c r="M35" s="4" t="s">
        <v>25</v>
      </c>
      <c r="N35" s="4" t="s">
        <v>25</v>
      </c>
      <c r="O35" s="4" t="s">
        <v>25</v>
      </c>
      <c r="P35" s="4" t="s">
        <v>25</v>
      </c>
      <c r="Q35" s="4" t="s">
        <v>25</v>
      </c>
      <c r="R35" s="4" t="s">
        <v>25</v>
      </c>
      <c r="S35" s="4" t="s">
        <v>25</v>
      </c>
      <c r="T35" s="4" t="s">
        <v>25</v>
      </c>
      <c r="U35" s="4" t="s">
        <v>25</v>
      </c>
      <c r="V35" s="4" t="s">
        <v>25</v>
      </c>
      <c r="W35" s="24"/>
      <c r="X35" s="24"/>
      <c r="Y35" s="24"/>
    </row>
    <row r="36" spans="1:25" ht="12.75" x14ac:dyDescent="0.2">
      <c r="A36" s="24"/>
      <c r="B36" s="5" t="s">
        <v>98</v>
      </c>
      <c r="C36" s="5" t="s">
        <v>98</v>
      </c>
      <c r="D36" s="5" t="s">
        <v>98</v>
      </c>
      <c r="E36" s="5" t="s">
        <v>98</v>
      </c>
      <c r="F36" s="5" t="s">
        <v>98</v>
      </c>
      <c r="G36" s="5" t="s">
        <v>98</v>
      </c>
      <c r="H36" s="5" t="s">
        <v>98</v>
      </c>
      <c r="I36" s="5" t="s">
        <v>98</v>
      </c>
      <c r="J36" s="5" t="s">
        <v>98</v>
      </c>
      <c r="K36" s="5" t="s">
        <v>98</v>
      </c>
      <c r="L36" s="5" t="s">
        <v>98</v>
      </c>
      <c r="M36" s="5" t="s">
        <v>98</v>
      </c>
      <c r="N36" s="5" t="s">
        <v>98</v>
      </c>
      <c r="O36" s="5" t="s">
        <v>98</v>
      </c>
      <c r="P36" s="5" t="s">
        <v>98</v>
      </c>
      <c r="Q36" s="5" t="s">
        <v>98</v>
      </c>
      <c r="R36" s="5" t="s">
        <v>98</v>
      </c>
      <c r="S36" s="5" t="s">
        <v>98</v>
      </c>
      <c r="T36" s="5" t="s">
        <v>98</v>
      </c>
      <c r="U36" s="5" t="s">
        <v>98</v>
      </c>
      <c r="V36" s="5" t="s">
        <v>98</v>
      </c>
      <c r="W36" s="24"/>
      <c r="X36" s="24"/>
      <c r="Y36" s="24"/>
    </row>
    <row r="37" spans="1:25" ht="12.75" x14ac:dyDescent="0.2">
      <c r="A37" s="24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4"/>
      <c r="X37" s="24"/>
      <c r="Y37" s="24"/>
    </row>
    <row r="38" spans="1:25" ht="12.75" x14ac:dyDescent="0.2">
      <c r="A38" s="25" t="s">
        <v>19</v>
      </c>
      <c r="B38" s="4" t="s">
        <v>25</v>
      </c>
      <c r="C38" s="4" t="s">
        <v>25</v>
      </c>
      <c r="D38" s="4" t="s">
        <v>25</v>
      </c>
      <c r="E38" s="4" t="s">
        <v>25</v>
      </c>
      <c r="F38" s="4" t="s">
        <v>25</v>
      </c>
      <c r="G38" s="4" t="s">
        <v>25</v>
      </c>
      <c r="H38" s="4" t="s">
        <v>25</v>
      </c>
      <c r="I38" s="4" t="s">
        <v>25</v>
      </c>
      <c r="J38" s="4" t="s">
        <v>25</v>
      </c>
      <c r="K38" s="4" t="s">
        <v>25</v>
      </c>
      <c r="L38" s="4" t="s">
        <v>25</v>
      </c>
      <c r="M38" s="4" t="s">
        <v>25</v>
      </c>
      <c r="N38" s="4" t="s">
        <v>25</v>
      </c>
      <c r="O38" s="4" t="s">
        <v>25</v>
      </c>
      <c r="P38" s="4" t="s">
        <v>25</v>
      </c>
      <c r="Q38" s="4" t="s">
        <v>25</v>
      </c>
      <c r="R38" s="4" t="s">
        <v>25</v>
      </c>
      <c r="S38" s="4" t="s">
        <v>25</v>
      </c>
      <c r="T38" s="4" t="s">
        <v>25</v>
      </c>
      <c r="U38" s="4" t="s">
        <v>25</v>
      </c>
      <c r="V38" s="4" t="s">
        <v>25</v>
      </c>
      <c r="W38" s="24"/>
      <c r="X38" s="24"/>
      <c r="Y38" s="24"/>
    </row>
    <row r="39" spans="1:25" ht="12.75" x14ac:dyDescent="0.2">
      <c r="A39" s="24"/>
      <c r="B39" s="5" t="s">
        <v>98</v>
      </c>
      <c r="C39" s="5" t="s">
        <v>98</v>
      </c>
      <c r="D39" s="5" t="s">
        <v>98</v>
      </c>
      <c r="E39" s="5" t="s">
        <v>98</v>
      </c>
      <c r="F39" s="5" t="s">
        <v>98</v>
      </c>
      <c r="G39" s="5" t="s">
        <v>98</v>
      </c>
      <c r="H39" s="5" t="s">
        <v>98</v>
      </c>
      <c r="I39" s="5" t="s">
        <v>98</v>
      </c>
      <c r="J39" s="5" t="s">
        <v>98</v>
      </c>
      <c r="K39" s="5" t="s">
        <v>98</v>
      </c>
      <c r="L39" s="5" t="s">
        <v>98</v>
      </c>
      <c r="M39" s="5" t="s">
        <v>98</v>
      </c>
      <c r="N39" s="5" t="s">
        <v>98</v>
      </c>
      <c r="O39" s="5" t="s">
        <v>98</v>
      </c>
      <c r="P39" s="5" t="s">
        <v>98</v>
      </c>
      <c r="Q39" s="5" t="s">
        <v>98</v>
      </c>
      <c r="R39" s="5" t="s">
        <v>98</v>
      </c>
      <c r="S39" s="5" t="s">
        <v>98</v>
      </c>
      <c r="T39" s="5" t="s">
        <v>98</v>
      </c>
      <c r="U39" s="5" t="s">
        <v>98</v>
      </c>
      <c r="V39" s="5" t="s">
        <v>98</v>
      </c>
      <c r="W39" s="24"/>
      <c r="X39" s="24"/>
      <c r="Y39" s="24"/>
    </row>
    <row r="40" spans="1:25" ht="12.75" x14ac:dyDescent="0.2">
      <c r="A40" s="24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4"/>
      <c r="X40" s="24"/>
      <c r="Y40" s="24"/>
    </row>
    <row r="41" spans="1:25" ht="12.75" x14ac:dyDescent="0.2">
      <c r="A41" s="25" t="s">
        <v>20</v>
      </c>
      <c r="B41" s="4" t="s">
        <v>25</v>
      </c>
      <c r="C41" s="4" t="s">
        <v>25</v>
      </c>
      <c r="D41" s="4" t="s">
        <v>25</v>
      </c>
      <c r="E41" s="4" t="s">
        <v>25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4" t="s">
        <v>25</v>
      </c>
      <c r="S41" s="4" t="s">
        <v>25</v>
      </c>
      <c r="T41" s="4" t="s">
        <v>25</v>
      </c>
      <c r="U41" s="4" t="s">
        <v>25</v>
      </c>
      <c r="V41" s="4" t="s">
        <v>25</v>
      </c>
      <c r="W41" s="24"/>
      <c r="X41" s="24"/>
      <c r="Y41" s="24"/>
    </row>
    <row r="42" spans="1:25" ht="12.75" x14ac:dyDescent="0.2">
      <c r="A42" s="24"/>
      <c r="B42" s="5" t="s">
        <v>98</v>
      </c>
      <c r="C42" s="5" t="s">
        <v>98</v>
      </c>
      <c r="D42" s="5" t="s">
        <v>98</v>
      </c>
      <c r="E42" s="5" t="s">
        <v>98</v>
      </c>
      <c r="F42" s="5" t="s">
        <v>98</v>
      </c>
      <c r="G42" s="5" t="s">
        <v>98</v>
      </c>
      <c r="H42" s="5" t="s">
        <v>98</v>
      </c>
      <c r="I42" s="5" t="s">
        <v>98</v>
      </c>
      <c r="J42" s="5" t="s">
        <v>98</v>
      </c>
      <c r="K42" s="5" t="s">
        <v>98</v>
      </c>
      <c r="L42" s="5" t="s">
        <v>98</v>
      </c>
      <c r="M42" s="5" t="s">
        <v>98</v>
      </c>
      <c r="N42" s="5" t="s">
        <v>98</v>
      </c>
      <c r="O42" s="5" t="s">
        <v>98</v>
      </c>
      <c r="P42" s="5" t="s">
        <v>98</v>
      </c>
      <c r="Q42" s="5" t="s">
        <v>98</v>
      </c>
      <c r="R42" s="5" t="s">
        <v>98</v>
      </c>
      <c r="S42" s="5" t="s">
        <v>98</v>
      </c>
      <c r="T42" s="5" t="s">
        <v>98</v>
      </c>
      <c r="U42" s="5" t="s">
        <v>98</v>
      </c>
      <c r="V42" s="5" t="s">
        <v>98</v>
      </c>
      <c r="W42" s="24"/>
      <c r="X42" s="24"/>
      <c r="Y42" s="24"/>
    </row>
    <row r="43" spans="1:25" ht="12.75" x14ac:dyDescent="0.2">
      <c r="A43" s="24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4"/>
      <c r="X43" s="24"/>
      <c r="Y43" s="24"/>
    </row>
    <row r="44" spans="1:25" ht="12.75" x14ac:dyDescent="0.2">
      <c r="A44" s="25" t="s">
        <v>21</v>
      </c>
      <c r="B44" s="4" t="s">
        <v>25</v>
      </c>
      <c r="C44" s="4" t="s">
        <v>25</v>
      </c>
      <c r="D44" s="4" t="s">
        <v>25</v>
      </c>
      <c r="E44" s="4" t="s">
        <v>25</v>
      </c>
      <c r="F44" s="4" t="s">
        <v>25</v>
      </c>
      <c r="G44" s="4" t="s">
        <v>25</v>
      </c>
      <c r="H44" s="4" t="s">
        <v>25</v>
      </c>
      <c r="I44" s="4" t="s">
        <v>25</v>
      </c>
      <c r="J44" s="4" t="s">
        <v>25</v>
      </c>
      <c r="K44" s="4" t="s">
        <v>25</v>
      </c>
      <c r="L44" s="4" t="s">
        <v>25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4" t="s">
        <v>25</v>
      </c>
      <c r="S44" s="4" t="s">
        <v>25</v>
      </c>
      <c r="T44" s="4" t="s">
        <v>25</v>
      </c>
      <c r="U44" s="4" t="s">
        <v>25</v>
      </c>
      <c r="V44" s="4" t="s">
        <v>25</v>
      </c>
      <c r="W44" s="24"/>
      <c r="X44" s="24"/>
      <c r="Y44" s="24"/>
    </row>
    <row r="45" spans="1:25" ht="12.75" x14ac:dyDescent="0.2">
      <c r="A45" s="24"/>
      <c r="B45" s="5" t="s">
        <v>98</v>
      </c>
      <c r="C45" s="5" t="s">
        <v>98</v>
      </c>
      <c r="D45" s="5" t="s">
        <v>98</v>
      </c>
      <c r="E45" s="5" t="s">
        <v>98</v>
      </c>
      <c r="F45" s="5" t="s">
        <v>98</v>
      </c>
      <c r="G45" s="5" t="s">
        <v>98</v>
      </c>
      <c r="H45" s="5" t="s">
        <v>98</v>
      </c>
      <c r="I45" s="5" t="s">
        <v>98</v>
      </c>
      <c r="J45" s="5" t="s">
        <v>98</v>
      </c>
      <c r="K45" s="5" t="s">
        <v>98</v>
      </c>
      <c r="L45" s="5" t="s">
        <v>98</v>
      </c>
      <c r="M45" s="5" t="s">
        <v>98</v>
      </c>
      <c r="N45" s="5" t="s">
        <v>98</v>
      </c>
      <c r="O45" s="5" t="s">
        <v>98</v>
      </c>
      <c r="P45" s="5" t="s">
        <v>98</v>
      </c>
      <c r="Q45" s="5" t="s">
        <v>98</v>
      </c>
      <c r="R45" s="5" t="s">
        <v>98</v>
      </c>
      <c r="S45" s="5" t="s">
        <v>98</v>
      </c>
      <c r="T45" s="5" t="s">
        <v>98</v>
      </c>
      <c r="U45" s="5" t="s">
        <v>98</v>
      </c>
      <c r="V45" s="5" t="s">
        <v>98</v>
      </c>
      <c r="W45" s="24"/>
      <c r="X45" s="24"/>
      <c r="Y45" s="24"/>
    </row>
    <row r="46" spans="1:25" ht="12.75" x14ac:dyDescent="0.2">
      <c r="A46" s="24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4"/>
      <c r="X46" s="24"/>
      <c r="Y46" s="24"/>
    </row>
    <row r="47" spans="1:25" ht="12.75" x14ac:dyDescent="0.2">
      <c r="A47" s="25" t="s">
        <v>22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</row>
    <row r="48" spans="1:25" ht="15" customHeight="1" x14ac:dyDescent="0.2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</row>
    <row r="49" spans="1:25" ht="15" customHeight="1" x14ac:dyDescent="0.2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</row>
    <row r="50" spans="1:25" ht="12.75" x14ac:dyDescent="0.2">
      <c r="A50" s="25" t="s">
        <v>23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</row>
    <row r="51" spans="1:25" ht="15" customHeight="1" x14ac:dyDescent="0.2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</row>
    <row r="52" spans="1:25" ht="15" customHeight="1" x14ac:dyDescent="0.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</row>
    <row r="57" spans="1:25" ht="12.75" x14ac:dyDescent="0.2">
      <c r="A57" t="s">
        <v>3</v>
      </c>
    </row>
  </sheetData>
  <mergeCells count="79"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B47:B49"/>
    <mergeCell ref="B50:B52"/>
    <mergeCell ref="C47:C49"/>
    <mergeCell ref="C50:C52"/>
    <mergeCell ref="D47:D49"/>
    <mergeCell ref="D50:D52"/>
    <mergeCell ref="E47:E49"/>
    <mergeCell ref="E50:E52"/>
    <mergeCell ref="F47:F49"/>
    <mergeCell ref="F50:F52"/>
    <mergeCell ref="G47:G49"/>
    <mergeCell ref="G50:G52"/>
    <mergeCell ref="H47:H49"/>
    <mergeCell ref="H50:H52"/>
    <mergeCell ref="I47:I49"/>
    <mergeCell ref="I50:I52"/>
    <mergeCell ref="J47:J49"/>
    <mergeCell ref="J50:J52"/>
    <mergeCell ref="K47:K49"/>
    <mergeCell ref="K50:K52"/>
    <mergeCell ref="L47:L49"/>
    <mergeCell ref="L50:L52"/>
    <mergeCell ref="M47:M49"/>
    <mergeCell ref="M50:M52"/>
    <mergeCell ref="N47:N49"/>
    <mergeCell ref="N50:N52"/>
    <mergeCell ref="O47:O49"/>
    <mergeCell ref="O50:O52"/>
    <mergeCell ref="P47:P49"/>
    <mergeCell ref="P50:P52"/>
    <mergeCell ref="Q47:Q49"/>
    <mergeCell ref="Q50:Q52"/>
    <mergeCell ref="R47:R49"/>
    <mergeCell ref="R50:R52"/>
    <mergeCell ref="S47:S49"/>
    <mergeCell ref="S50:S52"/>
    <mergeCell ref="T47:T49"/>
    <mergeCell ref="T50:T52"/>
    <mergeCell ref="U47:U49"/>
    <mergeCell ref="U50:U52"/>
    <mergeCell ref="V47:V49"/>
    <mergeCell ref="V50:V52"/>
    <mergeCell ref="W32:W34"/>
    <mergeCell ref="W35:W37"/>
    <mergeCell ref="W38:W40"/>
    <mergeCell ref="W41:W43"/>
    <mergeCell ref="W44:W46"/>
    <mergeCell ref="W47:W49"/>
    <mergeCell ref="W50:W52"/>
    <mergeCell ref="X47:X49"/>
    <mergeCell ref="X50:X52"/>
    <mergeCell ref="Y32:Y34"/>
    <mergeCell ref="Y35:Y37"/>
    <mergeCell ref="Y38:Y40"/>
    <mergeCell ref="Y41:Y43"/>
    <mergeCell ref="Y44:Y46"/>
    <mergeCell ref="Y47:Y49"/>
    <mergeCell ref="Y50:Y52"/>
    <mergeCell ref="X32:X34"/>
    <mergeCell ref="X35:X37"/>
    <mergeCell ref="X38:X40"/>
    <mergeCell ref="X41:X43"/>
    <mergeCell ref="X44:X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MDA-231</vt:lpstr>
      <vt:lpstr>10A-parental</vt:lpstr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Ilter, Didem</cp:lastModifiedBy>
  <dcterms:created xsi:type="dcterms:W3CDTF">2025-11-27T07:33:48Z</dcterms:created>
  <dcterms:modified xsi:type="dcterms:W3CDTF">2025-12-02T02:23:52Z</dcterms:modified>
</cp:coreProperties>
</file>